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Data" sheetId="2" state="visible" r:id="rId4"/>
    <sheet name="Pivot Summary" sheetId="3" state="visible" r:id="rId5"/>
    <sheet name="Insights" sheetId="4" state="visible" r:id="rId6"/>
  </sheets>
  <definedNames>
    <definedName function="false" hidden="true" localSheetId="1" name="_xlnm._FilterDatabase" vbProcedure="false">Data!$A$1:$X$36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<sst xmlns="http://schemas.openxmlformats.org/spreadsheetml/2006/main" count="480" uniqueCount="260">
  <si>
    <t xml:space="preserve">Retail Sales Analysis – Excel Project</t>
  </si>
  <si>
    <t xml:space="preserve">Author: Saideepak Ramarangula  |  Tools: Microsoft Excel (IF / nested IF, AND/OR, SUMIFS, COUNTIFS, AVERAGEIFS, conditional formatting, charts)</t>
  </si>
  <si>
    <t xml:space="preserve">Business question</t>
  </si>
  <si>
    <t xml:space="preserve">A retail company sells online and in stores across 6 Indian cities. Management wants to know:</t>
  </si>
  <si>
    <t xml:space="preserve">1. Which categories and cities bring the most sales?</t>
  </si>
  <si>
    <t xml:space="preserve">2. How much booked revenue is lost through cancelled and returned orders?</t>
  </si>
  <si>
    <t xml:space="preserve">3. Do heavy discounts actually help, or do they lead to more cancellations?</t>
  </si>
  <si>
    <t xml:space="preserve">What I did</t>
  </si>
  <si>
    <t xml:space="preserve">Step 1 – Data cleaning (sheet "Data"): trimmed extra spaces in names, stored Discount % as a real percentage, rebuilt Gross Sales, Discount Amount and Net Sales as formulas, flagged missing ratings and missing subcategories.</t>
  </si>
  <si>
    <t xml:space="preserve">Step 2 – Segmentation with IF / nested IF (sheet "Data", columns S–X): realised sales, order value band, discount band, order outcome, rating check, customer priority.</t>
  </si>
  <si>
    <t xml:space="preserve">Step 3 – Conditional formatting (sheet "Data"): above-average orders, lost orders, heavy discounts, rating colour scale, net sales data bars.</t>
  </si>
  <si>
    <t xml:space="preserve">Step 4 – Pivot summary (sheet "Pivot Summary"): KPIs plus summaries by category, city, sales channel and discount band, built with SUMIFS / COUNTIFS so they update automatically.</t>
  </si>
  <si>
    <t xml:space="preserve">Step 5 – Insights and recommendations (sheet "Insights").</t>
  </si>
  <si>
    <t xml:space="preserve">Colour legend</t>
  </si>
  <si>
    <t xml:space="preserve">Blue text = original input data  |  Black text = formulas  |  Light blue row = order above average net sales  |  Red text = cancelled or returned order  |  Orange cell = discount of 20% or more</t>
  </si>
  <si>
    <t xml:space="preserve">Note on the data</t>
  </si>
  <si>
    <t xml:space="preserve">Practice dataset from the Frontlines Edutech "Business Analytics with AI" course (35 orders, August 2026). Figures in INR.</t>
  </si>
  <si>
    <t xml:space="preserve">Order ID</t>
  </si>
  <si>
    <t xml:space="preserve">Order Date</t>
  </si>
  <si>
    <t xml:space="preserve">Customer ID</t>
  </si>
  <si>
    <t xml:space="preserve">Customer Name</t>
  </si>
  <si>
    <t xml:space="preserve">City</t>
  </si>
  <si>
    <t xml:space="preserve">Category</t>
  </si>
  <si>
    <t xml:space="preserve">Product</t>
  </si>
  <si>
    <t xml:space="preserve">Subcategory</t>
  </si>
  <si>
    <t xml:space="preserve">Unit Price</t>
  </si>
  <si>
    <t xml:space="preserve">Quantity</t>
  </si>
  <si>
    <t xml:space="preserve">Discount %</t>
  </si>
  <si>
    <t xml:space="preserve">Payment Mode</t>
  </si>
  <si>
    <t xml:space="preserve">Sales Channel</t>
  </si>
  <si>
    <t xml:space="preserve">Order Status</t>
  </si>
  <si>
    <t xml:space="preserve">Customer Rating</t>
  </si>
  <si>
    <t xml:space="preserve">Gross Sales</t>
  </si>
  <si>
    <t xml:space="preserve">Discount Amount</t>
  </si>
  <si>
    <t xml:space="preserve">Net Sales</t>
  </si>
  <si>
    <t xml:space="preserve">Realised Sales</t>
  </si>
  <si>
    <t xml:space="preserve">Order Value Band</t>
  </si>
  <si>
    <t xml:space="preserve">Discount Band</t>
  </si>
  <si>
    <t xml:space="preserve">Order Outcome</t>
  </si>
  <si>
    <t xml:space="preserve">Rating Check</t>
  </si>
  <si>
    <t xml:space="preserve">Customer Priority</t>
  </si>
  <si>
    <t xml:space="preserve">ORD1001</t>
  </si>
  <si>
    <t xml:space="preserve">C001</t>
  </si>
  <si>
    <t xml:space="preserve">Charan</t>
  </si>
  <si>
    <t xml:space="preserve">Bangalore</t>
  </si>
  <si>
    <t xml:space="preserve">Electronics</t>
  </si>
  <si>
    <t xml:space="preserve">Wireless Mouse</t>
  </si>
  <si>
    <t xml:space="preserve">Accessories</t>
  </si>
  <si>
    <t xml:space="preserve">UPI</t>
  </si>
  <si>
    <t xml:space="preserve">Online</t>
  </si>
  <si>
    <t xml:space="preserve">Delivered</t>
  </si>
  <si>
    <t xml:space="preserve">ORD1002</t>
  </si>
  <si>
    <t xml:space="preserve">C002</t>
  </si>
  <si>
    <t xml:space="preserve">Ganapati</t>
  </si>
  <si>
    <t xml:space="preserve">Hyderabad</t>
  </si>
  <si>
    <t xml:space="preserve">Home &amp; Kitchen</t>
  </si>
  <si>
    <t xml:space="preserve">Air Fryer</t>
  </si>
  <si>
    <t xml:space="preserve">Kitchen</t>
  </si>
  <si>
    <t xml:space="preserve">Card</t>
  </si>
  <si>
    <t xml:space="preserve">ORD1003</t>
  </si>
  <si>
    <t xml:space="preserve">C003</t>
  </si>
  <si>
    <t xml:space="preserve">Chandu</t>
  </si>
  <si>
    <t xml:space="preserve">Chennai</t>
  </si>
  <si>
    <t xml:space="preserve">Fashion</t>
  </si>
  <si>
    <t xml:space="preserve">Running Shoes</t>
  </si>
  <si>
    <t xml:space="preserve">Footwear</t>
  </si>
  <si>
    <t xml:space="preserve">Store</t>
  </si>
  <si>
    <t xml:space="preserve">ORD1004</t>
  </si>
  <si>
    <t xml:space="preserve">C004</t>
  </si>
  <si>
    <t xml:space="preserve">Dayana</t>
  </si>
  <si>
    <t xml:space="preserve">Pune</t>
  </si>
  <si>
    <t xml:space="preserve">Grocery</t>
  </si>
  <si>
    <t xml:space="preserve">Coffee Beans</t>
  </si>
  <si>
    <t xml:space="preserve">Beverages</t>
  </si>
  <si>
    <t xml:space="preserve">Cash</t>
  </si>
  <si>
    <t xml:space="preserve">Cancelled</t>
  </si>
  <si>
    <t xml:space="preserve">ORD1005</t>
  </si>
  <si>
    <t xml:space="preserve">C005</t>
  </si>
  <si>
    <t xml:space="preserve">Aruna</t>
  </si>
  <si>
    <t xml:space="preserve">Bluetooth Speaker</t>
  </si>
  <si>
    <t xml:space="preserve">Audio</t>
  </si>
  <si>
    <t xml:space="preserve">ORD1006</t>
  </si>
  <si>
    <t xml:space="preserve">C006</t>
  </si>
  <si>
    <t xml:space="preserve">Ramya</t>
  </si>
  <si>
    <t xml:space="preserve">Mumbai</t>
  </si>
  <si>
    <t xml:space="preserve">Denim Jacket</t>
  </si>
  <si>
    <t xml:space="preserve">Not Available</t>
  </si>
  <si>
    <t xml:space="preserve">ORD1007</t>
  </si>
  <si>
    <t xml:space="preserve">C007</t>
  </si>
  <si>
    <t xml:space="preserve">Yamini</t>
  </si>
  <si>
    <t xml:space="preserve">Delhi</t>
  </si>
  <si>
    <t xml:space="preserve">Beauty</t>
  </si>
  <si>
    <t xml:space="preserve">Face Serum</t>
  </si>
  <si>
    <t xml:space="preserve">ORD1008</t>
  </si>
  <si>
    <t xml:space="preserve">C008</t>
  </si>
  <si>
    <t xml:space="preserve">Sireesha</t>
  </si>
  <si>
    <t xml:space="preserve">Non-Stick Pan</t>
  </si>
  <si>
    <t xml:space="preserve">ORD1009</t>
  </si>
  <si>
    <t xml:space="preserve">C009</t>
  </si>
  <si>
    <t xml:space="preserve">Bhagya</t>
  </si>
  <si>
    <t xml:space="preserve">Power Bank</t>
  </si>
  <si>
    <t xml:space="preserve">Shipped</t>
  </si>
  <si>
    <t xml:space="preserve">ORD1010</t>
  </si>
  <si>
    <t xml:space="preserve">C010</t>
  </si>
  <si>
    <t xml:space="preserve">Satwika</t>
  </si>
  <si>
    <t xml:space="preserve">Olive Oil</t>
  </si>
  <si>
    <t xml:space="preserve">ORD1011</t>
  </si>
  <si>
    <t xml:space="preserve">C011</t>
  </si>
  <si>
    <t xml:space="preserve">Esther</t>
  </si>
  <si>
    <t xml:space="preserve">Handbag</t>
  </si>
  <si>
    <t xml:space="preserve">ORD1012</t>
  </si>
  <si>
    <t xml:space="preserve">C012</t>
  </si>
  <si>
    <t xml:space="preserve">Srilatha</t>
  </si>
  <si>
    <t xml:space="preserve">Smart Watch</t>
  </si>
  <si>
    <t xml:space="preserve">Wearables</t>
  </si>
  <si>
    <t xml:space="preserve">ORD1013</t>
  </si>
  <si>
    <t xml:space="preserve">C013</t>
  </si>
  <si>
    <t xml:space="preserve">Lathish</t>
  </si>
  <si>
    <t xml:space="preserve">Bedsheet Set</t>
  </si>
  <si>
    <t xml:space="preserve">Home Decor</t>
  </si>
  <si>
    <t xml:space="preserve">ORD1014</t>
  </si>
  <si>
    <t xml:space="preserve">C014</t>
  </si>
  <si>
    <t xml:space="preserve">Balu</t>
  </si>
  <si>
    <t xml:space="preserve">Green Tea</t>
  </si>
  <si>
    <t xml:space="preserve">ORD1015</t>
  </si>
  <si>
    <t xml:space="preserve">C015</t>
  </si>
  <si>
    <t xml:space="preserve">Divya</t>
  </si>
  <si>
    <t xml:space="preserve">Shampoo</t>
  </si>
  <si>
    <t xml:space="preserve">Hair Care</t>
  </si>
  <si>
    <t xml:space="preserve">ORD1016</t>
  </si>
  <si>
    <t xml:space="preserve">C016</t>
  </si>
  <si>
    <t xml:space="preserve">Kishore</t>
  </si>
  <si>
    <t xml:space="preserve">USB-C Hub</t>
  </si>
  <si>
    <t xml:space="preserve">ORD1017</t>
  </si>
  <si>
    <t xml:space="preserve">C017</t>
  </si>
  <si>
    <t xml:space="preserve">Bhanoji</t>
  </si>
  <si>
    <t xml:space="preserve">T-Shirt</t>
  </si>
  <si>
    <t xml:space="preserve">Apparel</t>
  </si>
  <si>
    <t xml:space="preserve">ORD1018</t>
  </si>
  <si>
    <t xml:space="preserve">C018</t>
  </si>
  <si>
    <t xml:space="preserve">Ganesh</t>
  </si>
  <si>
    <t xml:space="preserve">Mixer Grinder</t>
  </si>
  <si>
    <t xml:space="preserve">Appliances</t>
  </si>
  <si>
    <t xml:space="preserve">ORD1019</t>
  </si>
  <si>
    <t xml:space="preserve">C019</t>
  </si>
  <si>
    <t xml:space="preserve">Yadhu</t>
  </si>
  <si>
    <t xml:space="preserve">Keyboard</t>
  </si>
  <si>
    <t xml:space="preserve">ORD1020</t>
  </si>
  <si>
    <t xml:space="preserve">C020</t>
  </si>
  <si>
    <t xml:space="preserve">Navya</t>
  </si>
  <si>
    <t xml:space="preserve">Lipstick</t>
  </si>
  <si>
    <t xml:space="preserve">Cosmetics</t>
  </si>
  <si>
    <t xml:space="preserve">ORD1021</t>
  </si>
  <si>
    <t xml:space="preserve">C021</t>
  </si>
  <si>
    <t xml:space="preserve">Thahira</t>
  </si>
  <si>
    <t xml:space="preserve">Protein Bars</t>
  </si>
  <si>
    <t xml:space="preserve">Snacks</t>
  </si>
  <si>
    <t xml:space="preserve">ORD1022</t>
  </si>
  <si>
    <t xml:space="preserve">C022</t>
  </si>
  <si>
    <t xml:space="preserve">Indu</t>
  </si>
  <si>
    <t xml:space="preserve">Kurti</t>
  </si>
  <si>
    <t xml:space="preserve">ORD1023</t>
  </si>
  <si>
    <t xml:space="preserve">C023</t>
  </si>
  <si>
    <t xml:space="preserve">Divija</t>
  </si>
  <si>
    <t xml:space="preserve">Electric Kettle</t>
  </si>
  <si>
    <t xml:space="preserve">ORD1024</t>
  </si>
  <si>
    <t xml:space="preserve">C024</t>
  </si>
  <si>
    <t xml:space="preserve">Nithin</t>
  </si>
  <si>
    <t xml:space="preserve">Earbuds</t>
  </si>
  <si>
    <t xml:space="preserve">ORD1025</t>
  </si>
  <si>
    <t xml:space="preserve">C025</t>
  </si>
  <si>
    <t xml:space="preserve">Anuhya</t>
  </si>
  <si>
    <t xml:space="preserve">Basmati Rice</t>
  </si>
  <si>
    <t xml:space="preserve">ORD1026</t>
  </si>
  <si>
    <t xml:space="preserve">C026</t>
  </si>
  <si>
    <t xml:space="preserve">Amarnath</t>
  </si>
  <si>
    <t xml:space="preserve">Sneakers</t>
  </si>
  <si>
    <t xml:space="preserve">ORD1027</t>
  </si>
  <si>
    <t xml:space="preserve">C027</t>
  </si>
  <si>
    <t xml:space="preserve">Greeshma</t>
  </si>
  <si>
    <t xml:space="preserve">Moisturizer</t>
  </si>
  <si>
    <t xml:space="preserve">ORD1028</t>
  </si>
  <si>
    <t xml:space="preserve">C028</t>
  </si>
  <si>
    <t xml:space="preserve">Manas</t>
  </si>
  <si>
    <t xml:space="preserve">Storage Box</t>
  </si>
  <si>
    <t xml:space="preserve">ORD1029</t>
  </si>
  <si>
    <t xml:space="preserve">C029</t>
  </si>
  <si>
    <t xml:space="preserve">Harshitha</t>
  </si>
  <si>
    <t xml:space="preserve">Laptop Stand</t>
  </si>
  <si>
    <t xml:space="preserve">ORD1030</t>
  </si>
  <si>
    <t xml:space="preserve">C030</t>
  </si>
  <si>
    <t xml:space="preserve">Nishanth</t>
  </si>
  <si>
    <t xml:space="preserve">Formal Shirt</t>
  </si>
  <si>
    <t xml:space="preserve">ORD1031</t>
  </si>
  <si>
    <t xml:space="preserve">C031</t>
  </si>
  <si>
    <t xml:space="preserve">Venu</t>
  </si>
  <si>
    <t xml:space="preserve">Dry Fruits</t>
  </si>
  <si>
    <t xml:space="preserve">ORD1032</t>
  </si>
  <si>
    <t xml:space="preserve">C032</t>
  </si>
  <si>
    <t xml:space="preserve">Triveni</t>
  </si>
  <si>
    <t xml:space="preserve">Monitor</t>
  </si>
  <si>
    <t xml:space="preserve">Computers</t>
  </si>
  <si>
    <t xml:space="preserve">ORD1033</t>
  </si>
  <si>
    <t xml:space="preserve">C033</t>
  </si>
  <si>
    <t xml:space="preserve">Imran</t>
  </si>
  <si>
    <t xml:space="preserve">Backpack</t>
  </si>
  <si>
    <t xml:space="preserve">ORD1034</t>
  </si>
  <si>
    <t xml:space="preserve">C034</t>
  </si>
  <si>
    <t xml:space="preserve">Shivani</t>
  </si>
  <si>
    <t xml:space="preserve">Sunscreen</t>
  </si>
  <si>
    <t xml:space="preserve">ORD1035</t>
  </si>
  <si>
    <t xml:space="preserve">C035</t>
  </si>
  <si>
    <t xml:space="preserve">Gautham</t>
  </si>
  <si>
    <t xml:space="preserve">Toaster</t>
  </si>
  <si>
    <t xml:space="preserve">Returned</t>
  </si>
  <si>
    <t xml:space="preserve">Notes: Customer Rating 0 = rating missing (flagged "Missing" in Rating Check, excluded from average ratings). Subcategory "Not Available" is kept as in the source data. Blue = original data; black = formulas.</t>
  </si>
  <si>
    <t xml:space="preserve">Pivot Summary – Retail Sales, August 2026</t>
  </si>
  <si>
    <t xml:space="preserve">All figures are formulas (SUMIFS / COUNTIFS / AVERAGEIFS) linked to the Data sheet. Ratings of 0 (missing) are excluded from averages.</t>
  </si>
  <si>
    <t xml:space="preserve">Key figures</t>
  </si>
  <si>
    <t xml:space="preserve">Total orders</t>
  </si>
  <si>
    <t xml:space="preserve">Booked net sales (INR)</t>
  </si>
  <si>
    <t xml:space="preserve">Realised net sales (INR)</t>
  </si>
  <si>
    <t xml:space="preserve">Lost to cancellations / returns (INR)</t>
  </si>
  <si>
    <t xml:space="preserve">Share of booked sales lost</t>
  </si>
  <si>
    <t xml:space="preserve">Lost orders (cancelled + returned)</t>
  </si>
  <si>
    <t xml:space="preserve">Average order value (INR)</t>
  </si>
  <si>
    <t xml:space="preserve">Average customer rating</t>
  </si>
  <si>
    <t xml:space="preserve">By Category</t>
  </si>
  <si>
    <t xml:space="preserve">Value</t>
  </si>
  <si>
    <t xml:space="preserve">Orders</t>
  </si>
  <si>
    <t xml:space="preserve">Booked Sales</t>
  </si>
  <si>
    <t xml:space="preserve">Lost Sales</t>
  </si>
  <si>
    <t xml:space="preserve">% Lost</t>
  </si>
  <si>
    <t xml:space="preserve">Lost Orders</t>
  </si>
  <si>
    <t xml:space="preserve">Avg Rating</t>
  </si>
  <si>
    <t xml:space="preserve">Share of Booked</t>
  </si>
  <si>
    <t xml:space="preserve">Total</t>
  </si>
  <si>
    <t xml:space="preserve">By City</t>
  </si>
  <si>
    <t xml:space="preserve">By Sales Channel</t>
  </si>
  <si>
    <t xml:space="preserve">By Discount Band</t>
  </si>
  <si>
    <t xml:space="preserve">Under 10%</t>
  </si>
  <si>
    <t xml:space="preserve">10-14%</t>
  </si>
  <si>
    <t xml:space="preserve">15%+</t>
  </si>
  <si>
    <t xml:space="preserve">Tip: to show a native PivotTable too, select Data!A1:X36 → Insert → PivotTable → rows = Category, values = Net Sales and Realised Sales.</t>
  </si>
  <si>
    <t xml:space="preserve">Insights and recommendations</t>
  </si>
  <si>
    <t xml:space="preserve">#</t>
  </si>
  <si>
    <t xml:space="preserve">Finding</t>
  </si>
  <si>
    <t xml:space="preserve">Key number</t>
  </si>
  <si>
    <t xml:space="preserve">Recommendation</t>
  </si>
  <si>
    <t xml:space="preserve">Almost a third of booked sales never turn into revenue because orders are cancelled or returned.</t>
  </si>
  <si>
    <t xml:space="preserve">Find out why orders are cancelled (delivery time, price, stock) before spending more on new customers.</t>
  </si>
  <si>
    <t xml:space="preserve">Electronics is the biggest category (about a third of booked sales), but it also loses the most money: 4 of its 9 orders were cancelled or returned.</t>
  </si>
  <si>
    <t xml:space="preserve">Check Electronics stock and delivery promises; a small drop in cancellations here has the biggest effect.</t>
  </si>
  <si>
    <t xml:space="preserve">Pune loses the largest share of its booked sales of all six cities.</t>
  </si>
  <si>
    <t xml:space="preserve">Review Pune orders one by one; look for a common cause such as one courier, store or product.</t>
  </si>
  <si>
    <t xml:space="preserve">Heavy discounts do not stop cancellations: 1 in 3 orders with 15%+ discount was still lost, compared with 1 in 4 orders under 10%.</t>
  </si>
  <si>
    <t xml:space="preserve">Test smaller discounts on a few products; with only 35 orders this is a signal to check, not a proof.</t>
  </si>
  <si>
    <t xml:space="preserve">Data quality: several orders have no subcategory and one order has no rating.</t>
  </si>
  <si>
    <t xml:space="preserve">Make subcategory and rating required fields when orders are entered.</t>
  </si>
  <si>
    <t xml:space="preserve">Key number for #1 = share of booked sales lost; #2 = Electronics lost sales in INR; #3 = share of Pune booked sales lost; #4 = lost-order rate for the 15%+ discount band; #5 = orders with subcategory "Not Available".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</si>
</sst>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\.yyyy"/>
    <numFmt numFmtId="166" formatCode="#,##0.00"/>
    <numFmt numFmtId="167" formatCode="0%"/>
    <numFmt numFmtId="168" formatCode="0.0"/>
    <numFmt numFmtId="169" formatCode="0"/>
    <numFmt numFmtId="170" formatCode="#,##0"/>
    <numFmt numFmtId="171" formatCode="0.0%"/>
    <numFmt numFmtId="172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375623"/>
        <bgColor rgb="FF333300"/>
      </patternFill>
    </fill>
    <fill>
      <patternFill patternType="solid">
        <fgColor rgb="FFD9E1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0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  <dxf>
      <font>
        <b val="1"/>
        <color rgb="FFC00000"/>
      </font>
    </dxf>
    <dxf>
      <fill>
        <patternFill>
          <bgColor rgb="FFDDEBF7"/>
        </patternFill>
      </fill>
    </dxf>
    <dxf>
      <fill>
        <patternFill>
          <bgColor rgb="FFF4B084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4B084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Booked vs realised sales by category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Summary'!C15</c:f>
              <c:strCache>
                <c:ptCount val="1"/>
                <c:pt idx="0">
                  <c:v>Booked Sales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Summary'!$A$16:$A$20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Grocery</c:v>
                </c:pt>
                <c:pt idx="4">
                  <c:v>Beauty</c:v>
                </c:pt>
              </c:strCache>
            </c:strRef>
          </c:cat>
          <c:val>
            <c:numRef>
              <c:f>'Pivot Summary'!$C$16:$C$20</c:f>
              <c:numCache>
                <c:formatCode>#,##0</c:formatCode>
                <c:ptCount val="5"/>
                <c:pt idx="0">
                  <c:v>34559.24</c:v>
                </c:pt>
                <c:pt idx="1">
                  <c:v>23224.81</c:v>
                </c:pt>
                <c:pt idx="2">
                  <c:v>20261.15</c:v>
                </c:pt>
                <c:pt idx="3">
                  <c:v>13856.74</c:v>
                </c:pt>
                <c:pt idx="4">
                  <c:v>10556.97</c:v>
                </c:pt>
              </c:numCache>
            </c:numRef>
          </c:val>
        </c:ser>
        <c:ser>
          <c:idx val="1"/>
          <c:order val="1"/>
          <c:tx>
            <c:strRef>
              <c:f>'Pivot Summary'!D15</c:f>
              <c:strCache>
                <c:ptCount val="1"/>
                <c:pt idx="0">
                  <c:v>Realised Sales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Summary'!$A$16:$A$20</c:f>
              <c:strCache>
                <c:ptCount val="5"/>
                <c:pt idx="0">
                  <c:v>Electronics</c:v>
                </c:pt>
                <c:pt idx="1">
                  <c:v>Fashion</c:v>
                </c:pt>
                <c:pt idx="2">
                  <c:v>Home &amp; Kitchen</c:v>
                </c:pt>
                <c:pt idx="3">
                  <c:v>Grocery</c:v>
                </c:pt>
                <c:pt idx="4">
                  <c:v>Beauty</c:v>
                </c:pt>
              </c:strCache>
            </c:strRef>
          </c:cat>
          <c:val>
            <c:numRef>
              <c:f>'Pivot Summary'!$D$16:$D$20</c:f>
              <c:numCache>
                <c:formatCode>#,##0</c:formatCode>
                <c:ptCount val="5"/>
                <c:pt idx="0">
                  <c:v>20464.27</c:v>
                </c:pt>
                <c:pt idx="1">
                  <c:v>17949.71</c:v>
                </c:pt>
                <c:pt idx="2">
                  <c:v>15344.85</c:v>
                </c:pt>
                <c:pt idx="3">
                  <c:v>11386.74</c:v>
                </c:pt>
                <c:pt idx="4">
                  <c:v>5868.21</c:v>
                </c:pt>
              </c:numCache>
            </c:numRef>
          </c:val>
        </c:ser>
        <c:gapWidth val="150"/>
        <c:overlap val="0"/>
        <c:axId val="7938256"/>
        <c:axId val="84601261"/>
      </c:barChart>
      <c:catAx>
        <c:axId val="793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601261"/>
        <c:crosses val="autoZero"/>
        <c:auto val="1"/>
        <c:lblAlgn val="ctr"/>
        <c:lblOffset val="100"/>
        <c:noMultiLvlLbl val="0"/>
      </c:catAx>
      <c:valAx>
        <c:axId val="84601261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382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of booked sales lost,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Summary'!F25</c:f>
              <c:strCache>
                <c:ptCount val="1"/>
                <c:pt idx="0">
                  <c:v>% Lost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Summary'!$A$26:$A$31</c:f>
              <c:strCache>
                <c:ptCount val="6"/>
                <c:pt idx="0">
                  <c:v>Bangalore</c:v>
                </c:pt>
                <c:pt idx="1">
                  <c:v>Mumbai</c:v>
                </c:pt>
                <c:pt idx="2">
                  <c:v>Hyderabad</c:v>
                </c:pt>
                <c:pt idx="3">
                  <c:v>Chennai</c:v>
                </c:pt>
                <c:pt idx="4">
                  <c:v>Pune</c:v>
                </c:pt>
                <c:pt idx="5">
                  <c:v>Delhi</c:v>
                </c:pt>
              </c:strCache>
            </c:strRef>
          </c:cat>
          <c:val>
            <c:numRef>
              <c:f>'Pivot Summary'!$F$26:$F$31</c:f>
              <c:numCache>
                <c:formatCode>0%</c:formatCode>
                <c:ptCount val="6"/>
                <c:pt idx="0">
                  <c:v>0.26043225191507</c:v>
                </c:pt>
                <c:pt idx="1">
                  <c:v>0.29936149357038</c:v>
                </c:pt>
                <c:pt idx="2">
                  <c:v>0.136445299535728</c:v>
                </c:pt>
                <c:pt idx="3">
                  <c:v>0.199997376854236</c:v>
                </c:pt>
                <c:pt idx="4">
                  <c:v>0.704830230531569</c:v>
                </c:pt>
                <c:pt idx="5">
                  <c:v>0.267803583660494</c:v>
                </c:pt>
              </c:numCache>
            </c:numRef>
          </c:val>
        </c:ser>
        <c:gapWidth val="150"/>
        <c:overlap val="0"/>
        <c:axId val="76018919"/>
        <c:axId val="56061237"/>
      </c:barChart>
      <c:catAx>
        <c:axId val="76018919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061237"/>
        <c:crosses val="autoZero"/>
        <c:auto val="1"/>
        <c:lblAlgn val="ctr"/>
        <c:lblOffset val="100"/>
        <c:noMultiLvlLbl val="0"/>
      </c:catAx>
      <c:valAx>
        <c:axId val="560612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0189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Lost orders by discount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Summary'!B43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Summary'!$A$44:$A$46</c:f>
              <c:strCache>
                <c:ptCount val="3"/>
                <c:pt idx="0">
                  <c:v>Under 10%</c:v>
                </c:pt>
                <c:pt idx="1">
                  <c:v>10-14%</c:v>
                </c:pt>
                <c:pt idx="2">
                  <c:v>15%+</c:v>
                </c:pt>
              </c:strCache>
            </c:strRef>
          </c:cat>
          <c:val>
            <c:numRef>
              <c:f>'Pivot Summary'!$B$44:$B$46</c:f>
              <c:numCache>
                <c:formatCode>General</c:formatCode>
                <c:ptCount val="3"/>
                <c:pt idx="0">
                  <c:v>12</c:v>
                </c:pt>
                <c:pt idx="1">
                  <c:v>11</c:v>
                </c:pt>
                <c:pt idx="2">
                  <c:v>12</c:v>
                </c:pt>
              </c:numCache>
            </c:numRef>
          </c:val>
        </c:ser>
        <c:ser>
          <c:idx val="1"/>
          <c:order val="1"/>
          <c:tx>
            <c:strRef>
              <c:f>'Pivot Summary'!G43</c:f>
              <c:strCache>
                <c:ptCount val="1"/>
                <c:pt idx="0">
                  <c:v>Lost Orders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Summary'!$A$44:$A$46</c:f>
              <c:strCache>
                <c:ptCount val="3"/>
                <c:pt idx="0">
                  <c:v>Under 10%</c:v>
                </c:pt>
                <c:pt idx="1">
                  <c:v>10-14%</c:v>
                </c:pt>
                <c:pt idx="2">
                  <c:v>15%+</c:v>
                </c:pt>
              </c:strCache>
            </c:strRef>
          </c:cat>
          <c:val>
            <c:numRef>
              <c:f>'Pivot Summary'!$G$44:$G$46</c:f>
              <c:numCache>
                <c:formatCode>General</c:formatCode>
                <c:ptCount val="3"/>
                <c:pt idx="0">
                  <c:v>3</c:v>
                </c:pt>
                <c:pt idx="1">
                  <c:v>4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4374119"/>
        <c:axId val="54239314"/>
      </c:barChart>
      <c:catAx>
        <c:axId val="4374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239314"/>
        <c:crosses val="autoZero"/>
        <c:auto val="1"/>
        <c:lblAlgn val="ctr"/>
        <c:lblOffset val="100"/>
        <c:noMultiLvlLbl val="0"/>
      </c:catAx>
      <c:valAx>
        <c:axId val="5423931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74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2</xdr:row>
      <xdr:rowOff>131040</xdr:rowOff>
    </xdr:from>
    <xdr:to>
      <xdr:col>19</xdr:col>
      <xdr:colOff>255960</xdr:colOff>
      <xdr:row>16</xdr:row>
      <xdr:rowOff>51120</xdr:rowOff>
    </xdr:to>
    <xdr:graphicFrame>
      <xdr:nvGraphicFramePr>
        <xdr:cNvPr id="0" name="Chart 1"/>
        <xdr:cNvGraphicFramePr/>
      </xdr:nvGraphicFramePr>
      <xdr:xfrm>
        <a:off x="10479240" y="5716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19</xdr:row>
      <xdr:rowOff>18360</xdr:rowOff>
    </xdr:from>
    <xdr:to>
      <xdr:col>19</xdr:col>
      <xdr:colOff>255960</xdr:colOff>
      <xdr:row>32</xdr:row>
      <xdr:rowOff>128880</xdr:rowOff>
    </xdr:to>
    <xdr:graphicFrame>
      <xdr:nvGraphicFramePr>
        <xdr:cNvPr id="1" name="Chart 2"/>
        <xdr:cNvGraphicFramePr/>
      </xdr:nvGraphicFramePr>
      <xdr:xfrm>
        <a:off x="10479240" y="3809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35</xdr:row>
      <xdr:rowOff>96480</xdr:rowOff>
    </xdr:from>
    <xdr:to>
      <xdr:col>19</xdr:col>
      <xdr:colOff>255960</xdr:colOff>
      <xdr:row>48</xdr:row>
      <xdr:rowOff>94680</xdr:rowOff>
    </xdr:to>
    <xdr:graphicFrame>
      <xdr:nvGraphicFramePr>
        <xdr:cNvPr id="2" name="Chart 3"/>
        <xdr:cNvGraphicFramePr/>
      </xdr:nvGraphicFramePr>
      <xdr:xfrm>
        <a:off x="10479240" y="704844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3" t="s">
        <v>7</v>
      </c>
    </row>
    <row r="11" customFormat="false" ht="23.8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 t="s">
        <v>10</v>
      </c>
    </row>
    <row r="14" customFormat="false" ht="23.8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3" t="s">
        <v>13</v>
      </c>
    </row>
    <row r="18" customFormat="false" ht="23.8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10"/>
    <col collapsed="false" customWidth="true" hidden="false" outlineLevel="0" max="15" min="15" style="0" width="8"/>
    <col collapsed="false" customWidth="true" hidden="false" outlineLevel="0" max="22" min="16" style="0" width="11"/>
    <col collapsed="false" customWidth="true" hidden="false" outlineLevel="0" max="23" min="23" style="0" width="10"/>
    <col collapsed="false" customWidth="true" hidden="false" outlineLevel="0" max="24" min="24" style="0" width="14"/>
  </cols>
  <sheetData>
    <row r="1" customFormat="false" ht="31.5" hidden="false" customHeight="tru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4" t="s">
        <v>28</v>
      </c>
      <c r="M1" s="4" t="s">
        <v>29</v>
      </c>
      <c r="N1" s="4" t="s">
        <v>30</v>
      </c>
      <c r="O1" s="4" t="s">
        <v>31</v>
      </c>
      <c r="P1" s="4" t="s">
        <v>32</v>
      </c>
      <c r="Q1" s="4" t="s">
        <v>33</v>
      </c>
      <c r="R1" s="4" t="s">
        <v>34</v>
      </c>
      <c r="S1" s="5" t="s">
        <v>35</v>
      </c>
      <c r="T1" s="5" t="s">
        <v>36</v>
      </c>
      <c r="U1" s="5" t="s">
        <v>37</v>
      </c>
      <c r="V1" s="5" t="s">
        <v>38</v>
      </c>
      <c r="W1" s="5" t="s">
        <v>39</v>
      </c>
      <c r="X1" s="5" t="s">
        <v>40</v>
      </c>
    </row>
    <row r="2" customFormat="false" ht="15" hidden="false" customHeight="false" outlineLevel="0" collapsed="false">
      <c r="A2" s="6" t="s">
        <v>41</v>
      </c>
      <c r="B2" s="7" t="n">
        <v>46235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6" t="s">
        <v>47</v>
      </c>
      <c r="I2" s="8" t="n">
        <v>899</v>
      </c>
      <c r="J2" s="6" t="n">
        <v>2</v>
      </c>
      <c r="K2" s="9" t="n">
        <v>0.05</v>
      </c>
      <c r="L2" s="6" t="s">
        <v>48</v>
      </c>
      <c r="M2" s="6" t="s">
        <v>49</v>
      </c>
      <c r="N2" s="6" t="s">
        <v>50</v>
      </c>
      <c r="O2" s="10" t="n">
        <v>4.5</v>
      </c>
      <c r="P2" s="11" t="n">
        <f aca="false">I2*J2</f>
        <v>1798</v>
      </c>
      <c r="Q2" s="11" t="n">
        <f aca="false">P2*K2</f>
        <v>89.9</v>
      </c>
      <c r="R2" s="11" t="n">
        <f aca="false">P2-Q2</f>
        <v>1708.1</v>
      </c>
      <c r="S2" s="11" t="n">
        <f aca="false">IF(OR(N2="Cancelled",N2="Returned"),0,R2)</f>
        <v>1708.1</v>
      </c>
      <c r="T2" s="12" t="str">
        <f aca="false">IF(R2&gt;=4000,"High",IF(R2&gt;=2500,"Medium","Low"))</f>
        <v>Low</v>
      </c>
      <c r="U2" s="12" t="str">
        <f aca="false">IF(K2&gt;=15%,"15%+",IF(K2&gt;=10%,"10-14%","Under 10%"))</f>
        <v>Under 10%</v>
      </c>
      <c r="V2" s="12" t="str">
        <f aca="false">IF(OR(N2="Cancelled",N2="Returned"),"Lost",IF(N2="Shipped","In Transit","Completed"))</f>
        <v>Completed</v>
      </c>
      <c r="W2" s="12" t="str">
        <f aca="false">IF(O2=0,"Missing",IF(O2&gt;=4.5,"Excellent",IF(O2&gt;=4,"Good","Poor")))</f>
        <v>Excellent</v>
      </c>
      <c r="X2" s="12" t="str">
        <f aca="false">IF(AND(R2&gt;AVERAGE($R$2:$R$36),O2&gt;=4.5,V2&lt;&gt;"Lost"),"Key Customer",IF(AND(V2="Lost",R2&gt;AVERAGE($R$2:$R$36)),"Win Back",IF(V2="Lost","Follow Up","Regular")))</f>
        <v>Regular</v>
      </c>
    </row>
    <row r="3" customFormat="false" ht="15" hidden="false" customHeight="false" outlineLevel="0" collapsed="false">
      <c r="A3" s="6" t="s">
        <v>51</v>
      </c>
      <c r="B3" s="7" t="n">
        <v>46235</v>
      </c>
      <c r="C3" s="6" t="s">
        <v>52</v>
      </c>
      <c r="D3" s="6" t="s">
        <v>53</v>
      </c>
      <c r="E3" s="6" t="s">
        <v>54</v>
      </c>
      <c r="F3" s="6" t="s">
        <v>55</v>
      </c>
      <c r="G3" s="6" t="s">
        <v>56</v>
      </c>
      <c r="H3" s="6" t="s">
        <v>57</v>
      </c>
      <c r="I3" s="8" t="n">
        <v>5499</v>
      </c>
      <c r="J3" s="6" t="n">
        <v>1</v>
      </c>
      <c r="K3" s="9" t="n">
        <v>0.1</v>
      </c>
      <c r="L3" s="6" t="s">
        <v>58</v>
      </c>
      <c r="M3" s="6" t="s">
        <v>49</v>
      </c>
      <c r="N3" s="6" t="s">
        <v>50</v>
      </c>
      <c r="O3" s="10" t="n">
        <v>4.2</v>
      </c>
      <c r="P3" s="11" t="n">
        <f aca="false">I3*J3</f>
        <v>5499</v>
      </c>
      <c r="Q3" s="11" t="n">
        <f aca="false">P3*K3</f>
        <v>549.9</v>
      </c>
      <c r="R3" s="11" t="n">
        <f aca="false">P3-Q3</f>
        <v>4949.1</v>
      </c>
      <c r="S3" s="11" t="n">
        <f aca="false">IF(OR(N3="Cancelled",N3="Returned"),0,R3)</f>
        <v>4949.1</v>
      </c>
      <c r="T3" s="12" t="str">
        <f aca="false">IF(R3&gt;=4000,"High",IF(R3&gt;=2500,"Medium","Low"))</f>
        <v>High</v>
      </c>
      <c r="U3" s="12" t="str">
        <f aca="false">IF(K3&gt;=15%,"15%+",IF(K3&gt;=10%,"10-14%","Under 10%"))</f>
        <v>10-14%</v>
      </c>
      <c r="V3" s="12" t="str">
        <f aca="false">IF(OR(N3="Cancelled",N3="Returned"),"Lost",IF(N3="Shipped","In Transit","Completed"))</f>
        <v>Completed</v>
      </c>
      <c r="W3" s="12" t="str">
        <f aca="false">IF(O3=0,"Missing",IF(O3&gt;=4.5,"Excellent",IF(O3&gt;=4,"Good","Poor")))</f>
        <v>Good</v>
      </c>
      <c r="X3" s="12" t="str">
        <f aca="false">IF(AND(R3&gt;AVERAGE($R$2:$R$36),O3&gt;=4.5,V3&lt;&gt;"Lost"),"Key Customer",IF(AND(V3="Lost",R3&gt;AVERAGE($R$2:$R$36)),"Win Back",IF(V3="Lost","Follow Up","Regular")))</f>
        <v>Regular</v>
      </c>
    </row>
    <row r="4" customFormat="false" ht="15" hidden="false" customHeight="false" outlineLevel="0" collapsed="false">
      <c r="A4" s="6" t="s">
        <v>59</v>
      </c>
      <c r="B4" s="7" t="n">
        <v>46236</v>
      </c>
      <c r="C4" s="6" t="s">
        <v>60</v>
      </c>
      <c r="D4" s="6" t="s">
        <v>61</v>
      </c>
      <c r="E4" s="6" t="s">
        <v>62</v>
      </c>
      <c r="F4" s="6" t="s">
        <v>63</v>
      </c>
      <c r="G4" s="6" t="s">
        <v>64</v>
      </c>
      <c r="H4" s="6" t="s">
        <v>65</v>
      </c>
      <c r="I4" s="8" t="n">
        <v>2999</v>
      </c>
      <c r="J4" s="6" t="n">
        <v>1</v>
      </c>
      <c r="K4" s="9" t="n">
        <v>0.15</v>
      </c>
      <c r="L4" s="6" t="s">
        <v>48</v>
      </c>
      <c r="M4" s="6" t="s">
        <v>66</v>
      </c>
      <c r="N4" s="6" t="s">
        <v>50</v>
      </c>
      <c r="O4" s="10" t="n">
        <v>4.7</v>
      </c>
      <c r="P4" s="11" t="n">
        <f aca="false">I4*J4</f>
        <v>2999</v>
      </c>
      <c r="Q4" s="11" t="n">
        <f aca="false">P4*K4</f>
        <v>449.85</v>
      </c>
      <c r="R4" s="11" t="n">
        <f aca="false">P4-Q4</f>
        <v>2549.15</v>
      </c>
      <c r="S4" s="11" t="n">
        <f aca="false">IF(OR(N4="Cancelled",N4="Returned"),0,R4)</f>
        <v>2549.15</v>
      </c>
      <c r="T4" s="12" t="str">
        <f aca="false">IF(R4&gt;=4000,"High",IF(R4&gt;=2500,"Medium","Low"))</f>
        <v>Medium</v>
      </c>
      <c r="U4" s="12" t="str">
        <f aca="false">IF(K4&gt;=15%,"15%+",IF(K4&gt;=10%,"10-14%","Under 10%"))</f>
        <v>15%+</v>
      </c>
      <c r="V4" s="12" t="str">
        <f aca="false">IF(OR(N4="Cancelled",N4="Returned"),"Lost",IF(N4="Shipped","In Transit","Completed"))</f>
        <v>Completed</v>
      </c>
      <c r="W4" s="12" t="str">
        <f aca="false">IF(O4=0,"Missing",IF(O4&gt;=4.5,"Excellent",IF(O4&gt;=4,"Good","Poor")))</f>
        <v>Excellent</v>
      </c>
      <c r="X4" s="12" t="str">
        <f aca="false">IF(AND(R4&gt;AVERAGE($R$2:$R$36),O4&gt;=4.5,V4&lt;&gt;"Lost"),"Key Customer",IF(AND(V4="Lost",R4&gt;AVERAGE($R$2:$R$36)),"Win Back",IF(V4="Lost","Follow Up","Regular")))</f>
        <v>Regular</v>
      </c>
    </row>
    <row r="5" customFormat="false" ht="15" hidden="false" customHeight="false" outlineLevel="0" collapsed="false">
      <c r="A5" s="6" t="s">
        <v>67</v>
      </c>
      <c r="B5" s="7" t="n">
        <v>46236</v>
      </c>
      <c r="C5" s="6" t="s">
        <v>68</v>
      </c>
      <c r="D5" s="6" t="s">
        <v>69</v>
      </c>
      <c r="E5" s="6" t="s">
        <v>70</v>
      </c>
      <c r="F5" s="6" t="s">
        <v>71</v>
      </c>
      <c r="G5" s="6" t="s">
        <v>72</v>
      </c>
      <c r="H5" s="6" t="s">
        <v>73</v>
      </c>
      <c r="I5" s="8" t="n">
        <v>650</v>
      </c>
      <c r="J5" s="6" t="n">
        <v>4</v>
      </c>
      <c r="K5" s="9" t="n">
        <v>0.05</v>
      </c>
      <c r="L5" s="6" t="s">
        <v>74</v>
      </c>
      <c r="M5" s="6" t="s">
        <v>66</v>
      </c>
      <c r="N5" s="6" t="s">
        <v>75</v>
      </c>
      <c r="O5" s="10" t="n">
        <v>4.1</v>
      </c>
      <c r="P5" s="11" t="n">
        <f aca="false">I5*J5</f>
        <v>2600</v>
      </c>
      <c r="Q5" s="11" t="n">
        <f aca="false">P5*K5</f>
        <v>130</v>
      </c>
      <c r="R5" s="11" t="n">
        <f aca="false">P5-Q5</f>
        <v>2470</v>
      </c>
      <c r="S5" s="11" t="n">
        <f aca="false">IF(OR(N5="Cancelled",N5="Returned"),0,R5)</f>
        <v>0</v>
      </c>
      <c r="T5" s="12" t="str">
        <f aca="false">IF(R5&gt;=4000,"High",IF(R5&gt;=2500,"Medium","Low"))</f>
        <v>Low</v>
      </c>
      <c r="U5" s="12" t="str">
        <f aca="false">IF(K5&gt;=15%,"15%+",IF(K5&gt;=10%,"10-14%","Under 10%"))</f>
        <v>Under 10%</v>
      </c>
      <c r="V5" s="12" t="str">
        <f aca="false">IF(OR(N5="Cancelled",N5="Returned"),"Lost",IF(N5="Shipped","In Transit","Completed"))</f>
        <v>Lost</v>
      </c>
      <c r="W5" s="12" t="str">
        <f aca="false">IF(O5=0,"Missing",IF(O5&gt;=4.5,"Excellent",IF(O5&gt;=4,"Good","Poor")))</f>
        <v>Good</v>
      </c>
      <c r="X5" s="12" t="str">
        <f aca="false">IF(AND(R5&gt;AVERAGE($R$2:$R$36),O5&gt;=4.5,V5&lt;&gt;"Lost"),"Key Customer",IF(AND(V5="Lost",R5&gt;AVERAGE($R$2:$R$36)),"Win Back",IF(V5="Lost","Follow Up","Regular")))</f>
        <v>Follow Up</v>
      </c>
    </row>
    <row r="6" customFormat="false" ht="15" hidden="false" customHeight="false" outlineLevel="0" collapsed="false">
      <c r="A6" s="6" t="s">
        <v>76</v>
      </c>
      <c r="B6" s="7" t="n">
        <v>46237</v>
      </c>
      <c r="C6" s="6" t="s">
        <v>77</v>
      </c>
      <c r="D6" s="6" t="s">
        <v>78</v>
      </c>
      <c r="E6" s="6" t="s">
        <v>44</v>
      </c>
      <c r="F6" s="6" t="s">
        <v>45</v>
      </c>
      <c r="G6" s="6" t="s">
        <v>79</v>
      </c>
      <c r="H6" s="6" t="s">
        <v>80</v>
      </c>
      <c r="I6" s="8" t="n">
        <v>2199</v>
      </c>
      <c r="J6" s="6" t="n">
        <v>2</v>
      </c>
      <c r="K6" s="9" t="n">
        <v>0.12</v>
      </c>
      <c r="L6" s="6" t="s">
        <v>58</v>
      </c>
      <c r="M6" s="6" t="s">
        <v>49</v>
      </c>
      <c r="N6" s="6" t="s">
        <v>75</v>
      </c>
      <c r="O6" s="10" t="n">
        <v>4.6</v>
      </c>
      <c r="P6" s="11" t="n">
        <f aca="false">I6*J6</f>
        <v>4398</v>
      </c>
      <c r="Q6" s="11" t="n">
        <f aca="false">P6*K6</f>
        <v>527.76</v>
      </c>
      <c r="R6" s="11" t="n">
        <f aca="false">P6-Q6</f>
        <v>3870.24</v>
      </c>
      <c r="S6" s="11" t="n">
        <f aca="false">IF(OR(N6="Cancelled",N6="Returned"),0,R6)</f>
        <v>0</v>
      </c>
      <c r="T6" s="12" t="str">
        <f aca="false">IF(R6&gt;=4000,"High",IF(R6&gt;=2500,"Medium","Low"))</f>
        <v>Medium</v>
      </c>
      <c r="U6" s="12" t="str">
        <f aca="false">IF(K6&gt;=15%,"15%+",IF(K6&gt;=10%,"10-14%","Under 10%"))</f>
        <v>10-14%</v>
      </c>
      <c r="V6" s="12" t="str">
        <f aca="false">IF(OR(N6="Cancelled",N6="Returned"),"Lost",IF(N6="Shipped","In Transit","Completed"))</f>
        <v>Lost</v>
      </c>
      <c r="W6" s="12" t="str">
        <f aca="false">IF(O6=0,"Missing",IF(O6&gt;=4.5,"Excellent",IF(O6&gt;=4,"Good","Poor")))</f>
        <v>Excellent</v>
      </c>
      <c r="X6" s="12" t="str">
        <f aca="false">IF(AND(R6&gt;AVERAGE($R$2:$R$36),O6&gt;=4.5,V6&lt;&gt;"Lost"),"Key Customer",IF(AND(V6="Lost",R6&gt;AVERAGE($R$2:$R$36)),"Win Back",IF(V6="Lost","Follow Up","Regular")))</f>
        <v>Win Back</v>
      </c>
    </row>
    <row r="7" customFormat="false" ht="15" hidden="false" customHeight="false" outlineLevel="0" collapsed="false">
      <c r="A7" s="6" t="s">
        <v>81</v>
      </c>
      <c r="B7" s="7" t="n">
        <v>46237</v>
      </c>
      <c r="C7" s="6" t="s">
        <v>82</v>
      </c>
      <c r="D7" s="6" t="s">
        <v>83</v>
      </c>
      <c r="E7" s="6" t="s">
        <v>84</v>
      </c>
      <c r="F7" s="6" t="s">
        <v>63</v>
      </c>
      <c r="G7" s="6" t="s">
        <v>85</v>
      </c>
      <c r="H7" s="6" t="s">
        <v>86</v>
      </c>
      <c r="I7" s="8" t="n">
        <v>2499</v>
      </c>
      <c r="J7" s="6" t="n">
        <v>1</v>
      </c>
      <c r="K7" s="9" t="n">
        <v>0.2</v>
      </c>
      <c r="L7" s="6" t="s">
        <v>48</v>
      </c>
      <c r="M7" s="6" t="s">
        <v>49</v>
      </c>
      <c r="N7" s="6" t="s">
        <v>75</v>
      </c>
      <c r="O7" s="10" t="n">
        <v>4</v>
      </c>
      <c r="P7" s="11" t="n">
        <f aca="false">I7*J7</f>
        <v>2499</v>
      </c>
      <c r="Q7" s="11" t="n">
        <f aca="false">P7*K7</f>
        <v>499.8</v>
      </c>
      <c r="R7" s="11" t="n">
        <f aca="false">P7-Q7</f>
        <v>1999.2</v>
      </c>
      <c r="S7" s="11" t="n">
        <f aca="false">IF(OR(N7="Cancelled",N7="Returned"),0,R7)</f>
        <v>0</v>
      </c>
      <c r="T7" s="12" t="str">
        <f aca="false">IF(R7&gt;=4000,"High",IF(R7&gt;=2500,"Medium","Low"))</f>
        <v>Low</v>
      </c>
      <c r="U7" s="12" t="str">
        <f aca="false">IF(K7&gt;=15%,"15%+",IF(K7&gt;=10%,"10-14%","Under 10%"))</f>
        <v>15%+</v>
      </c>
      <c r="V7" s="12" t="str">
        <f aca="false">IF(OR(N7="Cancelled",N7="Returned"),"Lost",IF(N7="Shipped","In Transit","Completed"))</f>
        <v>Lost</v>
      </c>
      <c r="W7" s="12" t="str">
        <f aca="false">IF(O7=0,"Missing",IF(O7&gt;=4.5,"Excellent",IF(O7&gt;=4,"Good","Poor")))</f>
        <v>Good</v>
      </c>
      <c r="X7" s="12" t="str">
        <f aca="false">IF(AND(R7&gt;AVERAGE($R$2:$R$36),O7&gt;=4.5,V7&lt;&gt;"Lost"),"Key Customer",IF(AND(V7="Lost",R7&gt;AVERAGE($R$2:$R$36)),"Win Back",IF(V7="Lost","Follow Up","Regular")))</f>
        <v>Follow Up</v>
      </c>
    </row>
    <row r="8" customFormat="false" ht="15" hidden="false" customHeight="false" outlineLevel="0" collapsed="false">
      <c r="A8" s="6" t="s">
        <v>87</v>
      </c>
      <c r="B8" s="7" t="n">
        <v>46238</v>
      </c>
      <c r="C8" s="6" t="s">
        <v>88</v>
      </c>
      <c r="D8" s="6" t="s">
        <v>89</v>
      </c>
      <c r="E8" s="6" t="s">
        <v>90</v>
      </c>
      <c r="F8" s="6" t="s">
        <v>91</v>
      </c>
      <c r="G8" s="6" t="s">
        <v>92</v>
      </c>
      <c r="H8" s="6" t="s">
        <v>86</v>
      </c>
      <c r="I8" s="8" t="n">
        <v>799</v>
      </c>
      <c r="J8" s="6" t="n">
        <v>3</v>
      </c>
      <c r="K8" s="9" t="n">
        <v>0.08</v>
      </c>
      <c r="L8" s="6" t="s">
        <v>58</v>
      </c>
      <c r="M8" s="6" t="s">
        <v>49</v>
      </c>
      <c r="N8" s="6" t="s">
        <v>50</v>
      </c>
      <c r="O8" s="10" t="n">
        <v>4.4</v>
      </c>
      <c r="P8" s="11" t="n">
        <f aca="false">I8*J8</f>
        <v>2397</v>
      </c>
      <c r="Q8" s="11" t="n">
        <f aca="false">P8*K8</f>
        <v>191.76</v>
      </c>
      <c r="R8" s="11" t="n">
        <f aca="false">P8-Q8</f>
        <v>2205.24</v>
      </c>
      <c r="S8" s="11" t="n">
        <f aca="false">IF(OR(N8="Cancelled",N8="Returned"),0,R8)</f>
        <v>2205.24</v>
      </c>
      <c r="T8" s="12" t="str">
        <f aca="false">IF(R8&gt;=4000,"High",IF(R8&gt;=2500,"Medium","Low"))</f>
        <v>Low</v>
      </c>
      <c r="U8" s="12" t="str">
        <f aca="false">IF(K8&gt;=15%,"15%+",IF(K8&gt;=10%,"10-14%","Under 10%"))</f>
        <v>Under 10%</v>
      </c>
      <c r="V8" s="12" t="str">
        <f aca="false">IF(OR(N8="Cancelled",N8="Returned"),"Lost",IF(N8="Shipped","In Transit","Completed"))</f>
        <v>Completed</v>
      </c>
      <c r="W8" s="12" t="str">
        <f aca="false">IF(O8=0,"Missing",IF(O8&gt;=4.5,"Excellent",IF(O8&gt;=4,"Good","Poor")))</f>
        <v>Good</v>
      </c>
      <c r="X8" s="12" t="str">
        <f aca="false">IF(AND(R8&gt;AVERAGE($R$2:$R$36),O8&gt;=4.5,V8&lt;&gt;"Lost"),"Key Customer",IF(AND(V8="Lost",R8&gt;AVERAGE($R$2:$R$36)),"Win Back",IF(V8="Lost","Follow Up","Regular")))</f>
        <v>Regular</v>
      </c>
    </row>
    <row r="9" customFormat="false" ht="15" hidden="false" customHeight="false" outlineLevel="0" collapsed="false">
      <c r="A9" s="6" t="s">
        <v>93</v>
      </c>
      <c r="B9" s="7" t="n">
        <v>46238</v>
      </c>
      <c r="C9" s="6" t="s">
        <v>94</v>
      </c>
      <c r="D9" s="6" t="s">
        <v>95</v>
      </c>
      <c r="E9" s="6" t="s">
        <v>44</v>
      </c>
      <c r="F9" s="6" t="s">
        <v>55</v>
      </c>
      <c r="G9" s="6" t="s">
        <v>96</v>
      </c>
      <c r="H9" s="6" t="s">
        <v>86</v>
      </c>
      <c r="I9" s="8" t="n">
        <v>1299</v>
      </c>
      <c r="J9" s="6" t="n">
        <v>2</v>
      </c>
      <c r="K9" s="9" t="n">
        <v>0.1</v>
      </c>
      <c r="L9" s="6" t="s">
        <v>48</v>
      </c>
      <c r="M9" s="6" t="s">
        <v>66</v>
      </c>
      <c r="N9" s="6" t="s">
        <v>50</v>
      </c>
      <c r="O9" s="10" t="n">
        <v>4.3</v>
      </c>
      <c r="P9" s="11" t="n">
        <f aca="false">I9*J9</f>
        <v>2598</v>
      </c>
      <c r="Q9" s="11" t="n">
        <f aca="false">P9*K9</f>
        <v>259.8</v>
      </c>
      <c r="R9" s="11" t="n">
        <f aca="false">P9-Q9</f>
        <v>2338.2</v>
      </c>
      <c r="S9" s="11" t="n">
        <f aca="false">IF(OR(N9="Cancelled",N9="Returned"),0,R9)</f>
        <v>2338.2</v>
      </c>
      <c r="T9" s="12" t="str">
        <f aca="false">IF(R9&gt;=4000,"High",IF(R9&gt;=2500,"Medium","Low"))</f>
        <v>Low</v>
      </c>
      <c r="U9" s="12" t="str">
        <f aca="false">IF(K9&gt;=15%,"15%+",IF(K9&gt;=10%,"10-14%","Under 10%"))</f>
        <v>10-14%</v>
      </c>
      <c r="V9" s="12" t="str">
        <f aca="false">IF(OR(N9="Cancelled",N9="Returned"),"Lost",IF(N9="Shipped","In Transit","Completed"))</f>
        <v>Completed</v>
      </c>
      <c r="W9" s="12" t="str">
        <f aca="false">IF(O9=0,"Missing",IF(O9&gt;=4.5,"Excellent",IF(O9&gt;=4,"Good","Poor")))</f>
        <v>Good</v>
      </c>
      <c r="X9" s="12" t="str">
        <f aca="false">IF(AND(R9&gt;AVERAGE($R$2:$R$36),O9&gt;=4.5,V9&lt;&gt;"Lost"),"Key Customer",IF(AND(V9="Lost",R9&gt;AVERAGE($R$2:$R$36)),"Win Back",IF(V9="Lost","Follow Up","Regular")))</f>
        <v>Regular</v>
      </c>
    </row>
    <row r="10" customFormat="false" ht="15" hidden="false" customHeight="false" outlineLevel="0" collapsed="false">
      <c r="A10" s="6" t="s">
        <v>97</v>
      </c>
      <c r="B10" s="7" t="n">
        <v>46239</v>
      </c>
      <c r="C10" s="6" t="s">
        <v>98</v>
      </c>
      <c r="D10" s="6" t="s">
        <v>99</v>
      </c>
      <c r="E10" s="6" t="s">
        <v>54</v>
      </c>
      <c r="F10" s="6" t="s">
        <v>45</v>
      </c>
      <c r="G10" s="6" t="s">
        <v>100</v>
      </c>
      <c r="H10" s="6" t="s">
        <v>86</v>
      </c>
      <c r="I10" s="8" t="n">
        <v>1499</v>
      </c>
      <c r="J10" s="6" t="n">
        <v>1</v>
      </c>
      <c r="K10" s="9" t="n">
        <v>0.18</v>
      </c>
      <c r="L10" s="6" t="s">
        <v>58</v>
      </c>
      <c r="M10" s="6" t="s">
        <v>49</v>
      </c>
      <c r="N10" s="6" t="s">
        <v>101</v>
      </c>
      <c r="O10" s="10" t="n">
        <v>3.9</v>
      </c>
      <c r="P10" s="11" t="n">
        <f aca="false">I10*J10</f>
        <v>1499</v>
      </c>
      <c r="Q10" s="11" t="n">
        <f aca="false">P10*K10</f>
        <v>269.82</v>
      </c>
      <c r="R10" s="11" t="n">
        <f aca="false">P10-Q10</f>
        <v>1229.18</v>
      </c>
      <c r="S10" s="11" t="n">
        <f aca="false">IF(OR(N10="Cancelled",N10="Returned"),0,R10)</f>
        <v>1229.18</v>
      </c>
      <c r="T10" s="12" t="str">
        <f aca="false">IF(R10&gt;=4000,"High",IF(R10&gt;=2500,"Medium","Low"))</f>
        <v>Low</v>
      </c>
      <c r="U10" s="12" t="str">
        <f aca="false">IF(K10&gt;=15%,"15%+",IF(K10&gt;=10%,"10-14%","Under 10%"))</f>
        <v>15%+</v>
      </c>
      <c r="V10" s="12" t="str">
        <f aca="false">IF(OR(N10="Cancelled",N10="Returned"),"Lost",IF(N10="Shipped","In Transit","Completed"))</f>
        <v>In Transit</v>
      </c>
      <c r="W10" s="12" t="str">
        <f aca="false">IF(O10=0,"Missing",IF(O10&gt;=4.5,"Excellent",IF(O10&gt;=4,"Good","Poor")))</f>
        <v>Poor</v>
      </c>
      <c r="X10" s="12" t="str">
        <f aca="false">IF(AND(R10&gt;AVERAGE($R$2:$R$36),O10&gt;=4.5,V10&lt;&gt;"Lost"),"Key Customer",IF(AND(V10="Lost",R10&gt;AVERAGE($R$2:$R$36)),"Win Back",IF(V10="Lost","Follow Up","Regular")))</f>
        <v>Regular</v>
      </c>
    </row>
    <row r="11" customFormat="false" ht="15" hidden="false" customHeight="false" outlineLevel="0" collapsed="false">
      <c r="A11" s="6" t="s">
        <v>102</v>
      </c>
      <c r="B11" s="7" t="n">
        <v>46239</v>
      </c>
      <c r="C11" s="6" t="s">
        <v>103</v>
      </c>
      <c r="D11" s="6" t="s">
        <v>104</v>
      </c>
      <c r="E11" s="6" t="s">
        <v>62</v>
      </c>
      <c r="F11" s="6" t="s">
        <v>71</v>
      </c>
      <c r="G11" s="6" t="s">
        <v>105</v>
      </c>
      <c r="H11" s="6" t="s">
        <v>86</v>
      </c>
      <c r="I11" s="8" t="n">
        <v>899</v>
      </c>
      <c r="J11" s="6" t="n">
        <v>3</v>
      </c>
      <c r="K11" s="9" t="n">
        <v>0.06</v>
      </c>
      <c r="L11" s="6" t="s">
        <v>74</v>
      </c>
      <c r="M11" s="6" t="s">
        <v>66</v>
      </c>
      <c r="N11" s="6" t="s">
        <v>50</v>
      </c>
      <c r="O11" s="10" t="n">
        <v>4</v>
      </c>
      <c r="P11" s="11" t="n">
        <f aca="false">I11*J11</f>
        <v>2697</v>
      </c>
      <c r="Q11" s="11" t="n">
        <f aca="false">P11*K11</f>
        <v>161.82</v>
      </c>
      <c r="R11" s="11" t="n">
        <f aca="false">P11-Q11</f>
        <v>2535.18</v>
      </c>
      <c r="S11" s="11" t="n">
        <f aca="false">IF(OR(N11="Cancelled",N11="Returned"),0,R11)</f>
        <v>2535.18</v>
      </c>
      <c r="T11" s="12" t="str">
        <f aca="false">IF(R11&gt;=4000,"High",IF(R11&gt;=2500,"Medium","Low"))</f>
        <v>Medium</v>
      </c>
      <c r="U11" s="12" t="str">
        <f aca="false">IF(K11&gt;=15%,"15%+",IF(K11&gt;=10%,"10-14%","Under 10%"))</f>
        <v>Under 10%</v>
      </c>
      <c r="V11" s="12" t="str">
        <f aca="false">IF(OR(N11="Cancelled",N11="Returned"),"Lost",IF(N11="Shipped","In Transit","Completed"))</f>
        <v>Completed</v>
      </c>
      <c r="W11" s="12" t="str">
        <f aca="false">IF(O11=0,"Missing",IF(O11&gt;=4.5,"Excellent",IF(O11&gt;=4,"Good","Poor")))</f>
        <v>Good</v>
      </c>
      <c r="X11" s="12" t="str">
        <f aca="false">IF(AND(R11&gt;AVERAGE($R$2:$R$36),O11&gt;=4.5,V11&lt;&gt;"Lost"),"Key Customer",IF(AND(V11="Lost",R11&gt;AVERAGE($R$2:$R$36)),"Win Back",IF(V11="Lost","Follow Up","Regular")))</f>
        <v>Regular</v>
      </c>
    </row>
    <row r="12" customFormat="false" ht="15" hidden="false" customHeight="false" outlineLevel="0" collapsed="false">
      <c r="A12" s="6" t="s">
        <v>106</v>
      </c>
      <c r="B12" s="7" t="n">
        <v>46240</v>
      </c>
      <c r="C12" s="6" t="s">
        <v>107</v>
      </c>
      <c r="D12" s="6" t="s">
        <v>108</v>
      </c>
      <c r="E12" s="6" t="s">
        <v>70</v>
      </c>
      <c r="F12" s="6" t="s">
        <v>63</v>
      </c>
      <c r="G12" s="6" t="s">
        <v>109</v>
      </c>
      <c r="H12" s="6" t="s">
        <v>47</v>
      </c>
      <c r="I12" s="8" t="n">
        <v>1899</v>
      </c>
      <c r="J12" s="6" t="n">
        <v>2</v>
      </c>
      <c r="K12" s="9" t="n">
        <v>0.14</v>
      </c>
      <c r="L12" s="6" t="s">
        <v>48</v>
      </c>
      <c r="M12" s="6" t="s">
        <v>49</v>
      </c>
      <c r="N12" s="6" t="s">
        <v>50</v>
      </c>
      <c r="O12" s="10" t="n">
        <v>4.5</v>
      </c>
      <c r="P12" s="11" t="n">
        <f aca="false">I12*J12</f>
        <v>3798</v>
      </c>
      <c r="Q12" s="11" t="n">
        <f aca="false">P12*K12</f>
        <v>531.72</v>
      </c>
      <c r="R12" s="11" t="n">
        <f aca="false">P12-Q12</f>
        <v>3266.28</v>
      </c>
      <c r="S12" s="11" t="n">
        <f aca="false">IF(OR(N12="Cancelled",N12="Returned"),0,R12)</f>
        <v>3266.28</v>
      </c>
      <c r="T12" s="12" t="str">
        <f aca="false">IF(R12&gt;=4000,"High",IF(R12&gt;=2500,"Medium","Low"))</f>
        <v>Medium</v>
      </c>
      <c r="U12" s="12" t="str">
        <f aca="false">IF(K12&gt;=15%,"15%+",IF(K12&gt;=10%,"10-14%","Under 10%"))</f>
        <v>10-14%</v>
      </c>
      <c r="V12" s="12" t="str">
        <f aca="false">IF(OR(N12="Cancelled",N12="Returned"),"Lost",IF(N12="Shipped","In Transit","Completed"))</f>
        <v>Completed</v>
      </c>
      <c r="W12" s="12" t="str">
        <f aca="false">IF(O12=0,"Missing",IF(O12&gt;=4.5,"Excellent",IF(O12&gt;=4,"Good","Poor")))</f>
        <v>Excellent</v>
      </c>
      <c r="X12" s="12" t="str">
        <f aca="false">IF(AND(R12&gt;AVERAGE($R$2:$R$36),O12&gt;=4.5,V12&lt;&gt;"Lost"),"Key Customer",IF(AND(V12="Lost",R12&gt;AVERAGE($R$2:$R$36)),"Win Back",IF(V12="Lost","Follow Up","Regular")))</f>
        <v>Key Customer</v>
      </c>
    </row>
    <row r="13" customFormat="false" ht="15" hidden="false" customHeight="false" outlineLevel="0" collapsed="false">
      <c r="A13" s="6" t="s">
        <v>110</v>
      </c>
      <c r="B13" s="7" t="n">
        <v>46240</v>
      </c>
      <c r="C13" s="6" t="s">
        <v>111</v>
      </c>
      <c r="D13" s="6" t="s">
        <v>112</v>
      </c>
      <c r="E13" s="6" t="s">
        <v>84</v>
      </c>
      <c r="F13" s="6" t="s">
        <v>45</v>
      </c>
      <c r="G13" s="6" t="s">
        <v>113</v>
      </c>
      <c r="H13" s="6" t="s">
        <v>114</v>
      </c>
      <c r="I13" s="8" t="n">
        <v>4999</v>
      </c>
      <c r="J13" s="6" t="n">
        <v>1</v>
      </c>
      <c r="K13" s="9" t="n">
        <v>0.25</v>
      </c>
      <c r="L13" s="6" t="s">
        <v>58</v>
      </c>
      <c r="M13" s="6" t="s">
        <v>49</v>
      </c>
      <c r="N13" s="6" t="s">
        <v>50</v>
      </c>
      <c r="O13" s="10" t="n">
        <v>4.8</v>
      </c>
      <c r="P13" s="11" t="n">
        <f aca="false">I13*J13</f>
        <v>4999</v>
      </c>
      <c r="Q13" s="11" t="n">
        <f aca="false">P13*K13</f>
        <v>1249.75</v>
      </c>
      <c r="R13" s="11" t="n">
        <f aca="false">P13-Q13</f>
        <v>3749.25</v>
      </c>
      <c r="S13" s="11" t="n">
        <f aca="false">IF(OR(N13="Cancelled",N13="Returned"),0,R13)</f>
        <v>3749.25</v>
      </c>
      <c r="T13" s="12" t="str">
        <f aca="false">IF(R13&gt;=4000,"High",IF(R13&gt;=2500,"Medium","Low"))</f>
        <v>Medium</v>
      </c>
      <c r="U13" s="12" t="str">
        <f aca="false">IF(K13&gt;=15%,"15%+",IF(K13&gt;=10%,"10-14%","Under 10%"))</f>
        <v>15%+</v>
      </c>
      <c r="V13" s="12" t="str">
        <f aca="false">IF(OR(N13="Cancelled",N13="Returned"),"Lost",IF(N13="Shipped","In Transit","Completed"))</f>
        <v>Completed</v>
      </c>
      <c r="W13" s="12" t="str">
        <f aca="false">IF(O13=0,"Missing",IF(O13&gt;=4.5,"Excellent",IF(O13&gt;=4,"Good","Poor")))</f>
        <v>Excellent</v>
      </c>
      <c r="X13" s="12" t="str">
        <f aca="false">IF(AND(R13&gt;AVERAGE($R$2:$R$36),O13&gt;=4.5,V13&lt;&gt;"Lost"),"Key Customer",IF(AND(V13="Lost",R13&gt;AVERAGE($R$2:$R$36)),"Win Back",IF(V13="Lost","Follow Up","Regular")))</f>
        <v>Key Customer</v>
      </c>
    </row>
    <row r="14" customFormat="false" ht="15" hidden="false" customHeight="false" outlineLevel="0" collapsed="false">
      <c r="A14" s="6" t="s">
        <v>115</v>
      </c>
      <c r="B14" s="7" t="n">
        <v>46241</v>
      </c>
      <c r="C14" s="6" t="s">
        <v>116</v>
      </c>
      <c r="D14" s="6" t="s">
        <v>117</v>
      </c>
      <c r="E14" s="6" t="s">
        <v>90</v>
      </c>
      <c r="F14" s="6" t="s">
        <v>55</v>
      </c>
      <c r="G14" s="6" t="s">
        <v>118</v>
      </c>
      <c r="H14" s="6" t="s">
        <v>119</v>
      </c>
      <c r="I14" s="8" t="n">
        <v>1599</v>
      </c>
      <c r="J14" s="6" t="n">
        <v>2</v>
      </c>
      <c r="K14" s="9" t="n">
        <v>0.09</v>
      </c>
      <c r="L14" s="6" t="s">
        <v>48</v>
      </c>
      <c r="M14" s="6" t="s">
        <v>66</v>
      </c>
      <c r="N14" s="6" t="s">
        <v>50</v>
      </c>
      <c r="O14" s="10" t="n">
        <v>4.2</v>
      </c>
      <c r="P14" s="11" t="n">
        <f aca="false">I14*J14</f>
        <v>3198</v>
      </c>
      <c r="Q14" s="11" t="n">
        <f aca="false">P14*K14</f>
        <v>287.82</v>
      </c>
      <c r="R14" s="11" t="n">
        <f aca="false">P14-Q14</f>
        <v>2910.18</v>
      </c>
      <c r="S14" s="11" t="n">
        <f aca="false">IF(OR(N14="Cancelled",N14="Returned"),0,R14)</f>
        <v>2910.18</v>
      </c>
      <c r="T14" s="12" t="str">
        <f aca="false">IF(R14&gt;=4000,"High",IF(R14&gt;=2500,"Medium","Low"))</f>
        <v>Medium</v>
      </c>
      <c r="U14" s="12" t="str">
        <f aca="false">IF(K14&gt;=15%,"15%+",IF(K14&gt;=10%,"10-14%","Under 10%"))</f>
        <v>Under 10%</v>
      </c>
      <c r="V14" s="12" t="str">
        <f aca="false">IF(OR(N14="Cancelled",N14="Returned"),"Lost",IF(N14="Shipped","In Transit","Completed"))</f>
        <v>Completed</v>
      </c>
      <c r="W14" s="12" t="str">
        <f aca="false">IF(O14=0,"Missing",IF(O14&gt;=4.5,"Excellent",IF(O14&gt;=4,"Good","Poor")))</f>
        <v>Good</v>
      </c>
      <c r="X14" s="12" t="str">
        <f aca="false">IF(AND(R14&gt;AVERAGE($R$2:$R$36),O14&gt;=4.5,V14&lt;&gt;"Lost"),"Key Customer",IF(AND(V14="Lost",R14&gt;AVERAGE($R$2:$R$36)),"Win Back",IF(V14="Lost","Follow Up","Regular")))</f>
        <v>Regular</v>
      </c>
    </row>
    <row r="15" customFormat="false" ht="15" hidden="false" customHeight="false" outlineLevel="0" collapsed="false">
      <c r="A15" s="6" t="s">
        <v>120</v>
      </c>
      <c r="B15" s="7" t="n">
        <v>46241</v>
      </c>
      <c r="C15" s="6" t="s">
        <v>121</v>
      </c>
      <c r="D15" s="6" t="s">
        <v>122</v>
      </c>
      <c r="E15" s="6" t="s">
        <v>44</v>
      </c>
      <c r="F15" s="6" t="s">
        <v>71</v>
      </c>
      <c r="G15" s="6" t="s">
        <v>123</v>
      </c>
      <c r="H15" s="6" t="s">
        <v>73</v>
      </c>
      <c r="I15" s="8" t="n">
        <v>450</v>
      </c>
      <c r="J15" s="6" t="n">
        <v>5</v>
      </c>
      <c r="K15" s="9" t="n">
        <v>0.04</v>
      </c>
      <c r="L15" s="6" t="s">
        <v>74</v>
      </c>
      <c r="M15" s="6" t="s">
        <v>66</v>
      </c>
      <c r="N15" s="6" t="s">
        <v>50</v>
      </c>
      <c r="O15" s="10" t="n">
        <v>3.8</v>
      </c>
      <c r="P15" s="11" t="n">
        <f aca="false">I15*J15</f>
        <v>2250</v>
      </c>
      <c r="Q15" s="11" t="n">
        <f aca="false">P15*K15</f>
        <v>90</v>
      </c>
      <c r="R15" s="11" t="n">
        <f aca="false">P15-Q15</f>
        <v>2160</v>
      </c>
      <c r="S15" s="11" t="n">
        <f aca="false">IF(OR(N15="Cancelled",N15="Returned"),0,R15)</f>
        <v>2160</v>
      </c>
      <c r="T15" s="12" t="str">
        <f aca="false">IF(R15&gt;=4000,"High",IF(R15&gt;=2500,"Medium","Low"))</f>
        <v>Low</v>
      </c>
      <c r="U15" s="12" t="str">
        <f aca="false">IF(K15&gt;=15%,"15%+",IF(K15&gt;=10%,"10-14%","Under 10%"))</f>
        <v>Under 10%</v>
      </c>
      <c r="V15" s="12" t="str">
        <f aca="false">IF(OR(N15="Cancelled",N15="Returned"),"Lost",IF(N15="Shipped","In Transit","Completed"))</f>
        <v>Completed</v>
      </c>
      <c r="W15" s="12" t="str">
        <f aca="false">IF(O15=0,"Missing",IF(O15&gt;=4.5,"Excellent",IF(O15&gt;=4,"Good","Poor")))</f>
        <v>Poor</v>
      </c>
      <c r="X15" s="12" t="str">
        <f aca="false">IF(AND(R15&gt;AVERAGE($R$2:$R$36),O15&gt;=4.5,V15&lt;&gt;"Lost"),"Key Customer",IF(AND(V15="Lost",R15&gt;AVERAGE($R$2:$R$36)),"Win Back",IF(V15="Lost","Follow Up","Regular")))</f>
        <v>Regular</v>
      </c>
    </row>
    <row r="16" customFormat="false" ht="15" hidden="false" customHeight="false" outlineLevel="0" collapsed="false">
      <c r="A16" s="6" t="s">
        <v>124</v>
      </c>
      <c r="B16" s="7" t="n">
        <v>46242</v>
      </c>
      <c r="C16" s="6" t="s">
        <v>125</v>
      </c>
      <c r="D16" s="6" t="s">
        <v>126</v>
      </c>
      <c r="E16" s="6" t="s">
        <v>54</v>
      </c>
      <c r="F16" s="6" t="s">
        <v>91</v>
      </c>
      <c r="G16" s="6" t="s">
        <v>127</v>
      </c>
      <c r="H16" s="6" t="s">
        <v>128</v>
      </c>
      <c r="I16" s="8" t="n">
        <v>599</v>
      </c>
      <c r="J16" s="6" t="n">
        <v>4</v>
      </c>
      <c r="K16" s="9" t="n">
        <v>0.07</v>
      </c>
      <c r="L16" s="6" t="s">
        <v>58</v>
      </c>
      <c r="M16" s="6" t="s">
        <v>49</v>
      </c>
      <c r="N16" s="6" t="s">
        <v>75</v>
      </c>
      <c r="O16" s="10" t="n">
        <v>4.1</v>
      </c>
      <c r="P16" s="11" t="n">
        <f aca="false">I16*J16</f>
        <v>2396</v>
      </c>
      <c r="Q16" s="11" t="n">
        <f aca="false">P16*K16</f>
        <v>167.72</v>
      </c>
      <c r="R16" s="11" t="n">
        <f aca="false">P16-Q16</f>
        <v>2228.28</v>
      </c>
      <c r="S16" s="11" t="n">
        <f aca="false">IF(OR(N16="Cancelled",N16="Returned"),0,R16)</f>
        <v>0</v>
      </c>
      <c r="T16" s="12" t="str">
        <f aca="false">IF(R16&gt;=4000,"High",IF(R16&gt;=2500,"Medium","Low"))</f>
        <v>Low</v>
      </c>
      <c r="U16" s="12" t="str">
        <f aca="false">IF(K16&gt;=15%,"15%+",IF(K16&gt;=10%,"10-14%","Under 10%"))</f>
        <v>Under 10%</v>
      </c>
      <c r="V16" s="12" t="str">
        <f aca="false">IF(OR(N16="Cancelled",N16="Returned"),"Lost",IF(N16="Shipped","In Transit","Completed"))</f>
        <v>Lost</v>
      </c>
      <c r="W16" s="12" t="str">
        <f aca="false">IF(O16=0,"Missing",IF(O16&gt;=4.5,"Excellent",IF(O16&gt;=4,"Good","Poor")))</f>
        <v>Good</v>
      </c>
      <c r="X16" s="12" t="str">
        <f aca="false">IF(AND(R16&gt;AVERAGE($R$2:$R$36),O16&gt;=4.5,V16&lt;&gt;"Lost"),"Key Customer",IF(AND(V16="Lost",R16&gt;AVERAGE($R$2:$R$36)),"Win Back",IF(V16="Lost","Follow Up","Regular")))</f>
        <v>Follow Up</v>
      </c>
    </row>
    <row r="17" customFormat="false" ht="15" hidden="false" customHeight="false" outlineLevel="0" collapsed="false">
      <c r="A17" s="6" t="s">
        <v>129</v>
      </c>
      <c r="B17" s="7" t="n">
        <v>46242</v>
      </c>
      <c r="C17" s="6" t="s">
        <v>130</v>
      </c>
      <c r="D17" s="6" t="s">
        <v>131</v>
      </c>
      <c r="E17" s="6" t="s">
        <v>62</v>
      </c>
      <c r="F17" s="6" t="s">
        <v>45</v>
      </c>
      <c r="G17" s="6" t="s">
        <v>132</v>
      </c>
      <c r="H17" s="6" t="s">
        <v>47</v>
      </c>
      <c r="I17" s="8" t="n">
        <v>1799</v>
      </c>
      <c r="J17" s="6" t="n">
        <v>2</v>
      </c>
      <c r="K17" s="9" t="n">
        <v>0.11</v>
      </c>
      <c r="L17" s="6" t="s">
        <v>48</v>
      </c>
      <c r="M17" s="6" t="s">
        <v>49</v>
      </c>
      <c r="N17" s="6" t="s">
        <v>75</v>
      </c>
      <c r="O17" s="10" t="n">
        <v>4.6</v>
      </c>
      <c r="P17" s="11" t="n">
        <f aca="false">I17*J17</f>
        <v>3598</v>
      </c>
      <c r="Q17" s="11" t="n">
        <f aca="false">P17*K17</f>
        <v>395.78</v>
      </c>
      <c r="R17" s="11" t="n">
        <f aca="false">P17-Q17</f>
        <v>3202.22</v>
      </c>
      <c r="S17" s="11" t="n">
        <f aca="false">IF(OR(N17="Cancelled",N17="Returned"),0,R17)</f>
        <v>0</v>
      </c>
      <c r="T17" s="12" t="str">
        <f aca="false">IF(R17&gt;=4000,"High",IF(R17&gt;=2500,"Medium","Low"))</f>
        <v>Medium</v>
      </c>
      <c r="U17" s="12" t="str">
        <f aca="false">IF(K17&gt;=15%,"15%+",IF(K17&gt;=10%,"10-14%","Under 10%"))</f>
        <v>10-14%</v>
      </c>
      <c r="V17" s="12" t="str">
        <f aca="false">IF(OR(N17="Cancelled",N17="Returned"),"Lost",IF(N17="Shipped","In Transit","Completed"))</f>
        <v>Lost</v>
      </c>
      <c r="W17" s="12" t="str">
        <f aca="false">IF(O17=0,"Missing",IF(O17&gt;=4.5,"Excellent",IF(O17&gt;=4,"Good","Poor")))</f>
        <v>Excellent</v>
      </c>
      <c r="X17" s="12" t="str">
        <f aca="false">IF(AND(R17&gt;AVERAGE($R$2:$R$36),O17&gt;=4.5,V17&lt;&gt;"Lost"),"Key Customer",IF(AND(V17="Lost",R17&gt;AVERAGE($R$2:$R$36)),"Win Back",IF(V17="Lost","Follow Up","Regular")))</f>
        <v>Win Back</v>
      </c>
    </row>
    <row r="18" customFormat="false" ht="15" hidden="false" customHeight="false" outlineLevel="0" collapsed="false">
      <c r="A18" s="6" t="s">
        <v>133</v>
      </c>
      <c r="B18" s="7" t="n">
        <v>46243</v>
      </c>
      <c r="C18" s="6" t="s">
        <v>134</v>
      </c>
      <c r="D18" s="6" t="s">
        <v>135</v>
      </c>
      <c r="E18" s="6" t="s">
        <v>70</v>
      </c>
      <c r="F18" s="6" t="s">
        <v>63</v>
      </c>
      <c r="G18" s="6" t="s">
        <v>136</v>
      </c>
      <c r="H18" s="6" t="s">
        <v>137</v>
      </c>
      <c r="I18" s="8" t="n">
        <v>799</v>
      </c>
      <c r="J18" s="6" t="n">
        <v>5</v>
      </c>
      <c r="K18" s="9" t="n">
        <v>0.18</v>
      </c>
      <c r="L18" s="6" t="s">
        <v>48</v>
      </c>
      <c r="M18" s="6" t="s">
        <v>66</v>
      </c>
      <c r="N18" s="6" t="s">
        <v>75</v>
      </c>
      <c r="O18" s="10" t="n">
        <v>4.3</v>
      </c>
      <c r="P18" s="11" t="n">
        <f aca="false">I18*J18</f>
        <v>3995</v>
      </c>
      <c r="Q18" s="11" t="n">
        <f aca="false">P18*K18</f>
        <v>719.1</v>
      </c>
      <c r="R18" s="11" t="n">
        <f aca="false">P18-Q18</f>
        <v>3275.9</v>
      </c>
      <c r="S18" s="11" t="n">
        <f aca="false">IF(OR(N18="Cancelled",N18="Returned"),0,R18)</f>
        <v>0</v>
      </c>
      <c r="T18" s="12" t="str">
        <f aca="false">IF(R18&gt;=4000,"High",IF(R18&gt;=2500,"Medium","Low"))</f>
        <v>Medium</v>
      </c>
      <c r="U18" s="12" t="str">
        <f aca="false">IF(K18&gt;=15%,"15%+",IF(K18&gt;=10%,"10-14%","Under 10%"))</f>
        <v>15%+</v>
      </c>
      <c r="V18" s="12" t="str">
        <f aca="false">IF(OR(N18="Cancelled",N18="Returned"),"Lost",IF(N18="Shipped","In Transit","Completed"))</f>
        <v>Lost</v>
      </c>
      <c r="W18" s="12" t="str">
        <f aca="false">IF(O18=0,"Missing",IF(O18&gt;=4.5,"Excellent",IF(O18&gt;=4,"Good","Poor")))</f>
        <v>Good</v>
      </c>
      <c r="X18" s="12" t="str">
        <f aca="false">IF(AND(R18&gt;AVERAGE($R$2:$R$36),O18&gt;=4.5,V18&lt;&gt;"Lost"),"Key Customer",IF(AND(V18="Lost",R18&gt;AVERAGE($R$2:$R$36)),"Win Back",IF(V18="Lost","Follow Up","Regular")))</f>
        <v>Win Back</v>
      </c>
    </row>
    <row r="19" customFormat="false" ht="15" hidden="false" customHeight="false" outlineLevel="0" collapsed="false">
      <c r="A19" s="6" t="s">
        <v>138</v>
      </c>
      <c r="B19" s="7" t="n">
        <v>46243</v>
      </c>
      <c r="C19" s="6" t="s">
        <v>139</v>
      </c>
      <c r="D19" s="6" t="s">
        <v>140</v>
      </c>
      <c r="E19" s="6" t="s">
        <v>84</v>
      </c>
      <c r="F19" s="6" t="s">
        <v>55</v>
      </c>
      <c r="G19" s="6" t="s">
        <v>141</v>
      </c>
      <c r="H19" s="6" t="s">
        <v>142</v>
      </c>
      <c r="I19" s="8" t="n">
        <v>3499</v>
      </c>
      <c r="J19" s="6" t="n">
        <v>1</v>
      </c>
      <c r="K19" s="9" t="n">
        <v>0.16</v>
      </c>
      <c r="L19" s="6" t="s">
        <v>58</v>
      </c>
      <c r="M19" s="6" t="s">
        <v>49</v>
      </c>
      <c r="N19" s="6" t="s">
        <v>75</v>
      </c>
      <c r="O19" s="10" t="n">
        <v>2.9</v>
      </c>
      <c r="P19" s="11" t="n">
        <f aca="false">I19*J19</f>
        <v>3499</v>
      </c>
      <c r="Q19" s="11" t="n">
        <f aca="false">P19*K19</f>
        <v>559.84</v>
      </c>
      <c r="R19" s="11" t="n">
        <f aca="false">P19-Q19</f>
        <v>2939.16</v>
      </c>
      <c r="S19" s="11" t="n">
        <f aca="false">IF(OR(N19="Cancelled",N19="Returned"),0,R19)</f>
        <v>0</v>
      </c>
      <c r="T19" s="12" t="str">
        <f aca="false">IF(R19&gt;=4000,"High",IF(R19&gt;=2500,"Medium","Low"))</f>
        <v>Medium</v>
      </c>
      <c r="U19" s="12" t="str">
        <f aca="false">IF(K19&gt;=15%,"15%+",IF(K19&gt;=10%,"10-14%","Under 10%"))</f>
        <v>15%+</v>
      </c>
      <c r="V19" s="12" t="str">
        <f aca="false">IF(OR(N19="Cancelled",N19="Returned"),"Lost",IF(N19="Shipped","In Transit","Completed"))</f>
        <v>Lost</v>
      </c>
      <c r="W19" s="12" t="str">
        <f aca="false">IF(O19=0,"Missing",IF(O19&gt;=4.5,"Excellent",IF(O19&gt;=4,"Good","Poor")))</f>
        <v>Poor</v>
      </c>
      <c r="X19" s="12" t="str">
        <f aca="false">IF(AND(R19&gt;AVERAGE($R$2:$R$36),O19&gt;=4.5,V19&lt;&gt;"Lost"),"Key Customer",IF(AND(V19="Lost",R19&gt;AVERAGE($R$2:$R$36)),"Win Back",IF(V19="Lost","Follow Up","Regular")))</f>
        <v>Win Back</v>
      </c>
    </row>
    <row r="20" customFormat="false" ht="15" hidden="false" customHeight="false" outlineLevel="0" collapsed="false">
      <c r="A20" s="6" t="s">
        <v>143</v>
      </c>
      <c r="B20" s="7" t="n">
        <v>46244</v>
      </c>
      <c r="C20" s="6" t="s">
        <v>144</v>
      </c>
      <c r="D20" s="6" t="s">
        <v>145</v>
      </c>
      <c r="E20" s="6" t="s">
        <v>90</v>
      </c>
      <c r="F20" s="6" t="s">
        <v>45</v>
      </c>
      <c r="G20" s="6" t="s">
        <v>146</v>
      </c>
      <c r="H20" s="6" t="s">
        <v>47</v>
      </c>
      <c r="I20" s="8" t="n">
        <v>1299</v>
      </c>
      <c r="J20" s="6" t="n">
        <v>3</v>
      </c>
      <c r="K20" s="9" t="n">
        <v>0.07</v>
      </c>
      <c r="L20" s="6" t="s">
        <v>48</v>
      </c>
      <c r="M20" s="6" t="s">
        <v>49</v>
      </c>
      <c r="N20" s="6" t="s">
        <v>75</v>
      </c>
      <c r="O20" s="10" t="n">
        <v>4.4</v>
      </c>
      <c r="P20" s="11" t="n">
        <f aca="false">I20*J20</f>
        <v>3897</v>
      </c>
      <c r="Q20" s="11" t="n">
        <f aca="false">P20*K20</f>
        <v>272.79</v>
      </c>
      <c r="R20" s="11" t="n">
        <f aca="false">P20-Q20</f>
        <v>3624.21</v>
      </c>
      <c r="S20" s="11" t="n">
        <f aca="false">IF(OR(N20="Cancelled",N20="Returned"),0,R20)</f>
        <v>0</v>
      </c>
      <c r="T20" s="12" t="str">
        <f aca="false">IF(R20&gt;=4000,"High",IF(R20&gt;=2500,"Medium","Low"))</f>
        <v>Medium</v>
      </c>
      <c r="U20" s="12" t="str">
        <f aca="false">IF(K20&gt;=15%,"15%+",IF(K20&gt;=10%,"10-14%","Under 10%"))</f>
        <v>Under 10%</v>
      </c>
      <c r="V20" s="12" t="str">
        <f aca="false">IF(OR(N20="Cancelled",N20="Returned"),"Lost",IF(N20="Shipped","In Transit","Completed"))</f>
        <v>Lost</v>
      </c>
      <c r="W20" s="12" t="str">
        <f aca="false">IF(O20=0,"Missing",IF(O20&gt;=4.5,"Excellent",IF(O20&gt;=4,"Good","Poor")))</f>
        <v>Good</v>
      </c>
      <c r="X20" s="12" t="str">
        <f aca="false">IF(AND(R20&gt;AVERAGE($R$2:$R$36),O20&gt;=4.5,V20&lt;&gt;"Lost"),"Key Customer",IF(AND(V20="Lost",R20&gt;AVERAGE($R$2:$R$36)),"Win Back",IF(V20="Lost","Follow Up","Regular")))</f>
        <v>Win Back</v>
      </c>
    </row>
    <row r="21" customFormat="false" ht="15" hidden="false" customHeight="false" outlineLevel="0" collapsed="false">
      <c r="A21" s="6" t="s">
        <v>147</v>
      </c>
      <c r="B21" s="7" t="n">
        <v>46244</v>
      </c>
      <c r="C21" s="6" t="s">
        <v>148</v>
      </c>
      <c r="D21" s="6" t="s">
        <v>149</v>
      </c>
      <c r="E21" s="6" t="s">
        <v>44</v>
      </c>
      <c r="F21" s="6" t="s">
        <v>91</v>
      </c>
      <c r="G21" s="6" t="s">
        <v>150</v>
      </c>
      <c r="H21" s="6" t="s">
        <v>151</v>
      </c>
      <c r="I21" s="8" t="n">
        <v>699</v>
      </c>
      <c r="J21" s="6" t="n">
        <v>4</v>
      </c>
      <c r="K21" s="9" t="n">
        <v>0.12</v>
      </c>
      <c r="L21" s="6" t="s">
        <v>58</v>
      </c>
      <c r="M21" s="6" t="s">
        <v>66</v>
      </c>
      <c r="N21" s="6" t="s">
        <v>75</v>
      </c>
      <c r="O21" s="10" t="n">
        <v>4.5</v>
      </c>
      <c r="P21" s="11" t="n">
        <f aca="false">I21*J21</f>
        <v>2796</v>
      </c>
      <c r="Q21" s="11" t="n">
        <f aca="false">P21*K21</f>
        <v>335.52</v>
      </c>
      <c r="R21" s="11" t="n">
        <f aca="false">P21-Q21</f>
        <v>2460.48</v>
      </c>
      <c r="S21" s="11" t="n">
        <f aca="false">IF(OR(N21="Cancelled",N21="Returned"),0,R21)</f>
        <v>0</v>
      </c>
      <c r="T21" s="12" t="str">
        <f aca="false">IF(R21&gt;=4000,"High",IF(R21&gt;=2500,"Medium","Low"))</f>
        <v>Low</v>
      </c>
      <c r="U21" s="12" t="str">
        <f aca="false">IF(K21&gt;=15%,"15%+",IF(K21&gt;=10%,"10-14%","Under 10%"))</f>
        <v>10-14%</v>
      </c>
      <c r="V21" s="12" t="str">
        <f aca="false">IF(OR(N21="Cancelled",N21="Returned"),"Lost",IF(N21="Shipped","In Transit","Completed"))</f>
        <v>Lost</v>
      </c>
      <c r="W21" s="12" t="str">
        <f aca="false">IF(O21=0,"Missing",IF(O21&gt;=4.5,"Excellent",IF(O21&gt;=4,"Good","Poor")))</f>
        <v>Excellent</v>
      </c>
      <c r="X21" s="12" t="str">
        <f aca="false">IF(AND(R21&gt;AVERAGE($R$2:$R$36),O21&gt;=4.5,V21&lt;&gt;"Lost"),"Key Customer",IF(AND(V21="Lost",R21&gt;AVERAGE($R$2:$R$36)),"Win Back",IF(V21="Lost","Follow Up","Regular")))</f>
        <v>Follow Up</v>
      </c>
    </row>
    <row r="22" customFormat="false" ht="15" hidden="false" customHeight="false" outlineLevel="0" collapsed="false">
      <c r="A22" s="6" t="s">
        <v>152</v>
      </c>
      <c r="B22" s="7" t="n">
        <v>46245</v>
      </c>
      <c r="C22" s="6" t="s">
        <v>153</v>
      </c>
      <c r="D22" s="6" t="s">
        <v>154</v>
      </c>
      <c r="E22" s="6" t="s">
        <v>54</v>
      </c>
      <c r="F22" s="6" t="s">
        <v>71</v>
      </c>
      <c r="G22" s="6" t="s">
        <v>155</v>
      </c>
      <c r="H22" s="6" t="s">
        <v>156</v>
      </c>
      <c r="I22" s="8" t="n">
        <v>999</v>
      </c>
      <c r="J22" s="6" t="n">
        <v>2</v>
      </c>
      <c r="K22" s="9" t="n">
        <v>0.05</v>
      </c>
      <c r="L22" s="6" t="s">
        <v>48</v>
      </c>
      <c r="M22" s="6" t="s">
        <v>49</v>
      </c>
      <c r="N22" s="6" t="s">
        <v>50</v>
      </c>
      <c r="O22" s="10" t="n">
        <v>4</v>
      </c>
      <c r="P22" s="11" t="n">
        <f aca="false">I22*J22</f>
        <v>1998</v>
      </c>
      <c r="Q22" s="11" t="n">
        <f aca="false">P22*K22</f>
        <v>99.9</v>
      </c>
      <c r="R22" s="11" t="n">
        <f aca="false">P22-Q22</f>
        <v>1898.1</v>
      </c>
      <c r="S22" s="11" t="n">
        <f aca="false">IF(OR(N22="Cancelled",N22="Returned"),0,R22)</f>
        <v>1898.1</v>
      </c>
      <c r="T22" s="12" t="str">
        <f aca="false">IF(R22&gt;=4000,"High",IF(R22&gt;=2500,"Medium","Low"))</f>
        <v>Low</v>
      </c>
      <c r="U22" s="12" t="str">
        <f aca="false">IF(K22&gt;=15%,"15%+",IF(K22&gt;=10%,"10-14%","Under 10%"))</f>
        <v>Under 10%</v>
      </c>
      <c r="V22" s="12" t="str">
        <f aca="false">IF(OR(N22="Cancelled",N22="Returned"),"Lost",IF(N22="Shipped","In Transit","Completed"))</f>
        <v>Completed</v>
      </c>
      <c r="W22" s="12" t="str">
        <f aca="false">IF(O22=0,"Missing",IF(O22&gt;=4.5,"Excellent",IF(O22&gt;=4,"Good","Poor")))</f>
        <v>Good</v>
      </c>
      <c r="X22" s="12" t="str">
        <f aca="false">IF(AND(R22&gt;AVERAGE($R$2:$R$36),O22&gt;=4.5,V22&lt;&gt;"Lost"),"Key Customer",IF(AND(V22="Lost",R22&gt;AVERAGE($R$2:$R$36)),"Win Back",IF(V22="Lost","Follow Up","Regular")))</f>
        <v>Regular</v>
      </c>
    </row>
    <row r="23" customFormat="false" ht="15" hidden="false" customHeight="false" outlineLevel="0" collapsed="false">
      <c r="A23" s="6" t="s">
        <v>157</v>
      </c>
      <c r="B23" s="7" t="n">
        <v>46245</v>
      </c>
      <c r="C23" s="6" t="s">
        <v>158</v>
      </c>
      <c r="D23" s="6" t="s">
        <v>159</v>
      </c>
      <c r="E23" s="6" t="s">
        <v>62</v>
      </c>
      <c r="F23" s="6" t="s">
        <v>63</v>
      </c>
      <c r="G23" s="6" t="s">
        <v>160</v>
      </c>
      <c r="H23" s="6" t="s">
        <v>137</v>
      </c>
      <c r="I23" s="8" t="n">
        <v>1399</v>
      </c>
      <c r="J23" s="6" t="n">
        <v>2</v>
      </c>
      <c r="K23" s="9" t="n">
        <v>0.16</v>
      </c>
      <c r="L23" s="6" t="s">
        <v>58</v>
      </c>
      <c r="M23" s="6" t="s">
        <v>49</v>
      </c>
      <c r="N23" s="6" t="s">
        <v>101</v>
      </c>
      <c r="O23" s="10" t="n">
        <v>4.2</v>
      </c>
      <c r="P23" s="11" t="n">
        <f aca="false">I23*J23</f>
        <v>2798</v>
      </c>
      <c r="Q23" s="11" t="n">
        <f aca="false">P23*K23</f>
        <v>447.68</v>
      </c>
      <c r="R23" s="11" t="n">
        <f aca="false">P23-Q23</f>
        <v>2350.32</v>
      </c>
      <c r="S23" s="11" t="n">
        <f aca="false">IF(OR(N23="Cancelled",N23="Returned"),0,R23)</f>
        <v>2350.32</v>
      </c>
      <c r="T23" s="12" t="str">
        <f aca="false">IF(R23&gt;=4000,"High",IF(R23&gt;=2500,"Medium","Low"))</f>
        <v>Low</v>
      </c>
      <c r="U23" s="12" t="str">
        <f aca="false">IF(K23&gt;=15%,"15%+",IF(K23&gt;=10%,"10-14%","Under 10%"))</f>
        <v>15%+</v>
      </c>
      <c r="V23" s="12" t="str">
        <f aca="false">IF(OR(N23="Cancelled",N23="Returned"),"Lost",IF(N23="Shipped","In Transit","Completed"))</f>
        <v>In Transit</v>
      </c>
      <c r="W23" s="12" t="str">
        <f aca="false">IF(O23=0,"Missing",IF(O23&gt;=4.5,"Excellent",IF(O23&gt;=4,"Good","Poor")))</f>
        <v>Good</v>
      </c>
      <c r="X23" s="12" t="str">
        <f aca="false">IF(AND(R23&gt;AVERAGE($R$2:$R$36),O23&gt;=4.5,V23&lt;&gt;"Lost"),"Key Customer",IF(AND(V23="Lost",R23&gt;AVERAGE($R$2:$R$36)),"Win Back",IF(V23="Lost","Follow Up","Regular")))</f>
        <v>Regular</v>
      </c>
    </row>
    <row r="24" customFormat="false" ht="15" hidden="false" customHeight="false" outlineLevel="0" collapsed="false">
      <c r="A24" s="6" t="s">
        <v>161</v>
      </c>
      <c r="B24" s="7" t="n">
        <v>46246</v>
      </c>
      <c r="C24" s="6" t="s">
        <v>162</v>
      </c>
      <c r="D24" s="6" t="s">
        <v>163</v>
      </c>
      <c r="E24" s="6" t="s">
        <v>70</v>
      </c>
      <c r="F24" s="6" t="s">
        <v>55</v>
      </c>
      <c r="G24" s="6" t="s">
        <v>164</v>
      </c>
      <c r="H24" s="6" t="s">
        <v>142</v>
      </c>
      <c r="I24" s="8" t="n">
        <v>1599</v>
      </c>
      <c r="J24" s="6" t="n">
        <v>1</v>
      </c>
      <c r="K24" s="9" t="n">
        <v>0.13</v>
      </c>
      <c r="L24" s="6" t="s">
        <v>48</v>
      </c>
      <c r="M24" s="6" t="s">
        <v>66</v>
      </c>
      <c r="N24" s="6" t="s">
        <v>50</v>
      </c>
      <c r="O24" s="10" t="n">
        <v>4.6</v>
      </c>
      <c r="P24" s="11" t="n">
        <f aca="false">I24*J24</f>
        <v>1599</v>
      </c>
      <c r="Q24" s="11" t="n">
        <f aca="false">P24*K24</f>
        <v>207.87</v>
      </c>
      <c r="R24" s="11" t="n">
        <f aca="false">P24-Q24</f>
        <v>1391.13</v>
      </c>
      <c r="S24" s="11" t="n">
        <f aca="false">IF(OR(N24="Cancelled",N24="Returned"),0,R24)</f>
        <v>1391.13</v>
      </c>
      <c r="T24" s="12" t="str">
        <f aca="false">IF(R24&gt;=4000,"High",IF(R24&gt;=2500,"Medium","Low"))</f>
        <v>Low</v>
      </c>
      <c r="U24" s="12" t="str">
        <f aca="false">IF(K24&gt;=15%,"15%+",IF(K24&gt;=10%,"10-14%","Under 10%"))</f>
        <v>10-14%</v>
      </c>
      <c r="V24" s="12" t="str">
        <f aca="false">IF(OR(N24="Cancelled",N24="Returned"),"Lost",IF(N24="Shipped","In Transit","Completed"))</f>
        <v>Completed</v>
      </c>
      <c r="W24" s="12" t="str">
        <f aca="false">IF(O24=0,"Missing",IF(O24&gt;=4.5,"Excellent",IF(O24&gt;=4,"Good","Poor")))</f>
        <v>Excellent</v>
      </c>
      <c r="X24" s="12" t="str">
        <f aca="false">IF(AND(R24&gt;AVERAGE($R$2:$R$36),O24&gt;=4.5,V24&lt;&gt;"Lost"),"Key Customer",IF(AND(V24="Lost",R24&gt;AVERAGE($R$2:$R$36)),"Win Back",IF(V24="Lost","Follow Up","Regular")))</f>
        <v>Regular</v>
      </c>
    </row>
    <row r="25" customFormat="false" ht="15" hidden="false" customHeight="false" outlineLevel="0" collapsed="false">
      <c r="A25" s="6" t="s">
        <v>165</v>
      </c>
      <c r="B25" s="7" t="n">
        <v>46246</v>
      </c>
      <c r="C25" s="6" t="s">
        <v>166</v>
      </c>
      <c r="D25" s="6" t="s">
        <v>167</v>
      </c>
      <c r="E25" s="6" t="s">
        <v>84</v>
      </c>
      <c r="F25" s="6" t="s">
        <v>45</v>
      </c>
      <c r="G25" s="6" t="s">
        <v>168</v>
      </c>
      <c r="H25" s="6" t="s">
        <v>86</v>
      </c>
      <c r="I25" s="8" t="n">
        <v>2999</v>
      </c>
      <c r="J25" s="6" t="n">
        <v>2</v>
      </c>
      <c r="K25" s="9" t="n">
        <v>0.22</v>
      </c>
      <c r="L25" s="6" t="s">
        <v>58</v>
      </c>
      <c r="M25" s="6" t="s">
        <v>49</v>
      </c>
      <c r="N25" s="6" t="s">
        <v>50</v>
      </c>
      <c r="O25" s="10" t="n">
        <v>4.7</v>
      </c>
      <c r="P25" s="11" t="n">
        <f aca="false">I25*J25</f>
        <v>5998</v>
      </c>
      <c r="Q25" s="11" t="n">
        <f aca="false">P25*K25</f>
        <v>1319.56</v>
      </c>
      <c r="R25" s="11" t="n">
        <f aca="false">P25-Q25</f>
        <v>4678.44</v>
      </c>
      <c r="S25" s="11" t="n">
        <f aca="false">IF(OR(N25="Cancelled",N25="Returned"),0,R25)</f>
        <v>4678.44</v>
      </c>
      <c r="T25" s="12" t="str">
        <f aca="false">IF(R25&gt;=4000,"High",IF(R25&gt;=2500,"Medium","Low"))</f>
        <v>High</v>
      </c>
      <c r="U25" s="12" t="str">
        <f aca="false">IF(K25&gt;=15%,"15%+",IF(K25&gt;=10%,"10-14%","Under 10%"))</f>
        <v>15%+</v>
      </c>
      <c r="V25" s="12" t="str">
        <f aca="false">IF(OR(N25="Cancelled",N25="Returned"),"Lost",IF(N25="Shipped","In Transit","Completed"))</f>
        <v>Completed</v>
      </c>
      <c r="W25" s="12" t="str">
        <f aca="false">IF(O25=0,"Missing",IF(O25&gt;=4.5,"Excellent",IF(O25&gt;=4,"Good","Poor")))</f>
        <v>Excellent</v>
      </c>
      <c r="X25" s="12" t="str">
        <f aca="false">IF(AND(R25&gt;AVERAGE($R$2:$R$36),O25&gt;=4.5,V25&lt;&gt;"Lost"),"Key Customer",IF(AND(V25="Lost",R25&gt;AVERAGE($R$2:$R$36)),"Win Back",IF(V25="Lost","Follow Up","Regular")))</f>
        <v>Key Customer</v>
      </c>
    </row>
    <row r="26" customFormat="false" ht="15" hidden="false" customHeight="false" outlineLevel="0" collapsed="false">
      <c r="A26" s="6" t="s">
        <v>169</v>
      </c>
      <c r="B26" s="7" t="n">
        <v>46247</v>
      </c>
      <c r="C26" s="6" t="s">
        <v>170</v>
      </c>
      <c r="D26" s="6" t="s">
        <v>171</v>
      </c>
      <c r="E26" s="6" t="s">
        <v>90</v>
      </c>
      <c r="F26" s="6" t="s">
        <v>71</v>
      </c>
      <c r="G26" s="6" t="s">
        <v>172</v>
      </c>
      <c r="H26" s="6" t="s">
        <v>86</v>
      </c>
      <c r="I26" s="8" t="n">
        <v>899</v>
      </c>
      <c r="J26" s="6" t="n">
        <v>3</v>
      </c>
      <c r="K26" s="9" t="n">
        <v>0.08</v>
      </c>
      <c r="L26" s="6" t="s">
        <v>74</v>
      </c>
      <c r="M26" s="6" t="s">
        <v>66</v>
      </c>
      <c r="N26" s="6" t="s">
        <v>50</v>
      </c>
      <c r="O26" s="10" t="n">
        <v>3.7</v>
      </c>
      <c r="P26" s="11" t="n">
        <f aca="false">I26*J26</f>
        <v>2697</v>
      </c>
      <c r="Q26" s="11" t="n">
        <f aca="false">P26*K26</f>
        <v>215.76</v>
      </c>
      <c r="R26" s="11" t="n">
        <f aca="false">P26-Q26</f>
        <v>2481.24</v>
      </c>
      <c r="S26" s="11" t="n">
        <f aca="false">IF(OR(N26="Cancelled",N26="Returned"),0,R26)</f>
        <v>2481.24</v>
      </c>
      <c r="T26" s="12" t="str">
        <f aca="false">IF(R26&gt;=4000,"High",IF(R26&gt;=2500,"Medium","Low"))</f>
        <v>Low</v>
      </c>
      <c r="U26" s="12" t="str">
        <f aca="false">IF(K26&gt;=15%,"15%+",IF(K26&gt;=10%,"10-14%","Under 10%"))</f>
        <v>Under 10%</v>
      </c>
      <c r="V26" s="12" t="str">
        <f aca="false">IF(OR(N26="Cancelled",N26="Returned"),"Lost",IF(N26="Shipped","In Transit","Completed"))</f>
        <v>Completed</v>
      </c>
      <c r="W26" s="12" t="str">
        <f aca="false">IF(O26=0,"Missing",IF(O26&gt;=4.5,"Excellent",IF(O26&gt;=4,"Good","Poor")))</f>
        <v>Poor</v>
      </c>
      <c r="X26" s="12" t="str">
        <f aca="false">IF(AND(R26&gt;AVERAGE($R$2:$R$36),O26&gt;=4.5,V26&lt;&gt;"Lost"),"Key Customer",IF(AND(V26="Lost",R26&gt;AVERAGE($R$2:$R$36)),"Win Back",IF(V26="Lost","Follow Up","Regular")))</f>
        <v>Regular</v>
      </c>
    </row>
    <row r="27" customFormat="false" ht="15" hidden="false" customHeight="false" outlineLevel="0" collapsed="false">
      <c r="A27" s="6" t="s">
        <v>173</v>
      </c>
      <c r="B27" s="7" t="n">
        <v>46247</v>
      </c>
      <c r="C27" s="6" t="s">
        <v>174</v>
      </c>
      <c r="D27" s="6" t="s">
        <v>175</v>
      </c>
      <c r="E27" s="6" t="s">
        <v>44</v>
      </c>
      <c r="F27" s="6" t="s">
        <v>63</v>
      </c>
      <c r="G27" s="6" t="s">
        <v>176</v>
      </c>
      <c r="H27" s="6" t="s">
        <v>86</v>
      </c>
      <c r="I27" s="8" t="n">
        <v>3299</v>
      </c>
      <c r="J27" s="6" t="n">
        <v>1</v>
      </c>
      <c r="K27" s="9" t="n">
        <v>0.19</v>
      </c>
      <c r="L27" s="6" t="s">
        <v>48</v>
      </c>
      <c r="M27" s="6" t="s">
        <v>49</v>
      </c>
      <c r="N27" s="6" t="s">
        <v>50</v>
      </c>
      <c r="O27" s="10" t="n">
        <v>4.8</v>
      </c>
      <c r="P27" s="11" t="n">
        <f aca="false">I27*J27</f>
        <v>3299</v>
      </c>
      <c r="Q27" s="11" t="n">
        <f aca="false">P27*K27</f>
        <v>626.81</v>
      </c>
      <c r="R27" s="11" t="n">
        <f aca="false">P27-Q27</f>
        <v>2672.19</v>
      </c>
      <c r="S27" s="11" t="n">
        <f aca="false">IF(OR(N27="Cancelled",N27="Returned"),0,R27)</f>
        <v>2672.19</v>
      </c>
      <c r="T27" s="12" t="str">
        <f aca="false">IF(R27&gt;=4000,"High",IF(R27&gt;=2500,"Medium","Low"))</f>
        <v>Medium</v>
      </c>
      <c r="U27" s="12" t="str">
        <f aca="false">IF(K27&gt;=15%,"15%+",IF(K27&gt;=10%,"10-14%","Under 10%"))</f>
        <v>15%+</v>
      </c>
      <c r="V27" s="12" t="str">
        <f aca="false">IF(OR(N27="Cancelled",N27="Returned"),"Lost",IF(N27="Shipped","In Transit","Completed"))</f>
        <v>Completed</v>
      </c>
      <c r="W27" s="12" t="str">
        <f aca="false">IF(O27=0,"Missing",IF(O27&gt;=4.5,"Excellent",IF(O27&gt;=4,"Good","Poor")))</f>
        <v>Excellent</v>
      </c>
      <c r="X27" s="12" t="str">
        <f aca="false">IF(AND(R27&gt;AVERAGE($R$2:$R$36),O27&gt;=4.5,V27&lt;&gt;"Lost"),"Key Customer",IF(AND(V27="Lost",R27&gt;AVERAGE($R$2:$R$36)),"Win Back",IF(V27="Lost","Follow Up","Regular")))</f>
        <v>Regular</v>
      </c>
    </row>
    <row r="28" customFormat="false" ht="15" hidden="false" customHeight="false" outlineLevel="0" collapsed="false">
      <c r="A28" s="6" t="s">
        <v>177</v>
      </c>
      <c r="B28" s="7" t="n">
        <v>46248</v>
      </c>
      <c r="C28" s="6" t="s">
        <v>178</v>
      </c>
      <c r="D28" s="6" t="s">
        <v>179</v>
      </c>
      <c r="E28" s="6" t="s">
        <v>54</v>
      </c>
      <c r="F28" s="6" t="s">
        <v>91</v>
      </c>
      <c r="G28" s="6" t="s">
        <v>180</v>
      </c>
      <c r="H28" s="6" t="s">
        <v>86</v>
      </c>
      <c r="I28" s="8" t="n">
        <v>749</v>
      </c>
      <c r="J28" s="6" t="n">
        <v>3</v>
      </c>
      <c r="K28" s="9" t="n">
        <v>0.09</v>
      </c>
      <c r="L28" s="6" t="s">
        <v>58</v>
      </c>
      <c r="M28" s="6" t="s">
        <v>49</v>
      </c>
      <c r="N28" s="6" t="s">
        <v>50</v>
      </c>
      <c r="O28" s="10" t="n">
        <v>4.3</v>
      </c>
      <c r="P28" s="11" t="n">
        <f aca="false">I28*J28</f>
        <v>2247</v>
      </c>
      <c r="Q28" s="11" t="n">
        <f aca="false">P28*K28</f>
        <v>202.23</v>
      </c>
      <c r="R28" s="11" t="n">
        <f aca="false">P28-Q28</f>
        <v>2044.77</v>
      </c>
      <c r="S28" s="11" t="n">
        <f aca="false">IF(OR(N28="Cancelled",N28="Returned"),0,R28)</f>
        <v>2044.77</v>
      </c>
      <c r="T28" s="12" t="str">
        <f aca="false">IF(R28&gt;=4000,"High",IF(R28&gt;=2500,"Medium","Low"))</f>
        <v>Low</v>
      </c>
      <c r="U28" s="12" t="str">
        <f aca="false">IF(K28&gt;=15%,"15%+",IF(K28&gt;=10%,"10-14%","Under 10%"))</f>
        <v>Under 10%</v>
      </c>
      <c r="V28" s="12" t="str">
        <f aca="false">IF(OR(N28="Cancelled",N28="Returned"),"Lost",IF(N28="Shipped","In Transit","Completed"))</f>
        <v>Completed</v>
      </c>
      <c r="W28" s="12" t="str">
        <f aca="false">IF(O28=0,"Missing",IF(O28&gt;=4.5,"Excellent",IF(O28&gt;=4,"Good","Poor")))</f>
        <v>Good</v>
      </c>
      <c r="X28" s="12" t="str">
        <f aca="false">IF(AND(R28&gt;AVERAGE($R$2:$R$36),O28&gt;=4.5,V28&lt;&gt;"Lost"),"Key Customer",IF(AND(V28="Lost",R28&gt;AVERAGE($R$2:$R$36)),"Win Back",IF(V28="Lost","Follow Up","Regular")))</f>
        <v>Regular</v>
      </c>
    </row>
    <row r="29" customFormat="false" ht="15" hidden="false" customHeight="false" outlineLevel="0" collapsed="false">
      <c r="A29" s="6" t="s">
        <v>181</v>
      </c>
      <c r="B29" s="7" t="n">
        <v>46248</v>
      </c>
      <c r="C29" s="6" t="s">
        <v>182</v>
      </c>
      <c r="D29" s="6" t="s">
        <v>183</v>
      </c>
      <c r="E29" s="6" t="s">
        <v>62</v>
      </c>
      <c r="F29" s="6" t="s">
        <v>55</v>
      </c>
      <c r="G29" s="6" t="s">
        <v>184</v>
      </c>
      <c r="H29" s="6" t="s">
        <v>86</v>
      </c>
      <c r="I29" s="8" t="n">
        <v>999</v>
      </c>
      <c r="J29" s="6" t="n">
        <v>4</v>
      </c>
      <c r="K29" s="9" t="n">
        <v>0.06</v>
      </c>
      <c r="L29" s="6" t="s">
        <v>48</v>
      </c>
      <c r="M29" s="6" t="s">
        <v>66</v>
      </c>
      <c r="N29" s="6" t="s">
        <v>50</v>
      </c>
      <c r="O29" s="10" t="n">
        <v>4.1</v>
      </c>
      <c r="P29" s="11" t="n">
        <f aca="false">I29*J29</f>
        <v>3996</v>
      </c>
      <c r="Q29" s="11" t="n">
        <f aca="false">P29*K29</f>
        <v>239.76</v>
      </c>
      <c r="R29" s="11" t="n">
        <f aca="false">P29-Q29</f>
        <v>3756.24</v>
      </c>
      <c r="S29" s="11" t="n">
        <f aca="false">IF(OR(N29="Cancelled",N29="Returned"),0,R29)</f>
        <v>3756.24</v>
      </c>
      <c r="T29" s="12" t="str">
        <f aca="false">IF(R29&gt;=4000,"High",IF(R29&gt;=2500,"Medium","Low"))</f>
        <v>Medium</v>
      </c>
      <c r="U29" s="12" t="str">
        <f aca="false">IF(K29&gt;=15%,"15%+",IF(K29&gt;=10%,"10-14%","Under 10%"))</f>
        <v>Under 10%</v>
      </c>
      <c r="V29" s="12" t="str">
        <f aca="false">IF(OR(N29="Cancelled",N29="Returned"),"Lost",IF(N29="Shipped","In Transit","Completed"))</f>
        <v>Completed</v>
      </c>
      <c r="W29" s="12" t="str">
        <f aca="false">IF(O29=0,"Missing",IF(O29&gt;=4.5,"Excellent",IF(O29&gt;=4,"Good","Poor")))</f>
        <v>Good</v>
      </c>
      <c r="X29" s="12" t="str">
        <f aca="false">IF(AND(R29&gt;AVERAGE($R$2:$R$36),O29&gt;=4.5,V29&lt;&gt;"Lost"),"Key Customer",IF(AND(V29="Lost",R29&gt;AVERAGE($R$2:$R$36)),"Win Back",IF(V29="Lost","Follow Up","Regular")))</f>
        <v>Regular</v>
      </c>
    </row>
    <row r="30" customFormat="false" ht="15" hidden="false" customHeight="false" outlineLevel="0" collapsed="false">
      <c r="A30" s="6" t="s">
        <v>185</v>
      </c>
      <c r="B30" s="7" t="n">
        <v>46249</v>
      </c>
      <c r="C30" s="6" t="s">
        <v>186</v>
      </c>
      <c r="D30" s="6" t="s">
        <v>187</v>
      </c>
      <c r="E30" s="6" t="s">
        <v>70</v>
      </c>
      <c r="F30" s="6" t="s">
        <v>45</v>
      </c>
      <c r="G30" s="6" t="s">
        <v>188</v>
      </c>
      <c r="H30" s="6" t="s">
        <v>86</v>
      </c>
      <c r="I30" s="8" t="n">
        <v>1999</v>
      </c>
      <c r="J30" s="6" t="n">
        <v>2</v>
      </c>
      <c r="K30" s="9" t="n">
        <v>0.15</v>
      </c>
      <c r="L30" s="6" t="s">
        <v>58</v>
      </c>
      <c r="M30" s="6" t="s">
        <v>49</v>
      </c>
      <c r="N30" s="6" t="s">
        <v>75</v>
      </c>
      <c r="O30" s="10" t="n">
        <v>0</v>
      </c>
      <c r="P30" s="11" t="n">
        <f aca="false">I30*J30</f>
        <v>3998</v>
      </c>
      <c r="Q30" s="11" t="n">
        <f aca="false">P30*K30</f>
        <v>599.7</v>
      </c>
      <c r="R30" s="11" t="n">
        <f aca="false">P30-Q30</f>
        <v>3398.3</v>
      </c>
      <c r="S30" s="11" t="n">
        <f aca="false">IF(OR(N30="Cancelled",N30="Returned"),0,R30)</f>
        <v>0</v>
      </c>
      <c r="T30" s="12" t="str">
        <f aca="false">IF(R30&gt;=4000,"High",IF(R30&gt;=2500,"Medium","Low"))</f>
        <v>Medium</v>
      </c>
      <c r="U30" s="12" t="str">
        <f aca="false">IF(K30&gt;=15%,"15%+",IF(K30&gt;=10%,"10-14%","Under 10%"))</f>
        <v>15%+</v>
      </c>
      <c r="V30" s="12" t="str">
        <f aca="false">IF(OR(N30="Cancelled",N30="Returned"),"Lost",IF(N30="Shipped","In Transit","Completed"))</f>
        <v>Lost</v>
      </c>
      <c r="W30" s="12" t="str">
        <f aca="false">IF(O30=0,"Missing",IF(O30&gt;=4.5,"Excellent",IF(O30&gt;=4,"Good","Poor")))</f>
        <v>Missing</v>
      </c>
      <c r="X30" s="12" t="str">
        <f aca="false">IF(AND(R30&gt;AVERAGE($R$2:$R$36),O30&gt;=4.5,V30&lt;&gt;"Lost"),"Key Customer",IF(AND(V30="Lost",R30&gt;AVERAGE($R$2:$R$36)),"Win Back",IF(V30="Lost","Follow Up","Regular")))</f>
        <v>Win Back</v>
      </c>
    </row>
    <row r="31" customFormat="false" ht="15" hidden="false" customHeight="false" outlineLevel="0" collapsed="false">
      <c r="A31" s="6" t="s">
        <v>189</v>
      </c>
      <c r="B31" s="7" t="n">
        <v>46249</v>
      </c>
      <c r="C31" s="6" t="s">
        <v>190</v>
      </c>
      <c r="D31" s="6" t="s">
        <v>191</v>
      </c>
      <c r="E31" s="6" t="s">
        <v>84</v>
      </c>
      <c r="F31" s="6" t="s">
        <v>63</v>
      </c>
      <c r="G31" s="6" t="s">
        <v>192</v>
      </c>
      <c r="H31" s="6" t="s">
        <v>137</v>
      </c>
      <c r="I31" s="8" t="n">
        <v>1799</v>
      </c>
      <c r="J31" s="6" t="n">
        <v>2</v>
      </c>
      <c r="K31" s="9" t="n">
        <v>0.13</v>
      </c>
      <c r="L31" s="6" t="s">
        <v>48</v>
      </c>
      <c r="M31" s="6" t="s">
        <v>66</v>
      </c>
      <c r="N31" s="6" t="s">
        <v>50</v>
      </c>
      <c r="O31" s="10" t="n">
        <v>4.4</v>
      </c>
      <c r="P31" s="11" t="n">
        <f aca="false">I31*J31</f>
        <v>3598</v>
      </c>
      <c r="Q31" s="11" t="n">
        <f aca="false">P31*K31</f>
        <v>467.74</v>
      </c>
      <c r="R31" s="11" t="n">
        <f aca="false">P31-Q31</f>
        <v>3130.26</v>
      </c>
      <c r="S31" s="11" t="n">
        <f aca="false">IF(OR(N31="Cancelled",N31="Returned"),0,R31)</f>
        <v>3130.26</v>
      </c>
      <c r="T31" s="12" t="str">
        <f aca="false">IF(R31&gt;=4000,"High",IF(R31&gt;=2500,"Medium","Low"))</f>
        <v>Medium</v>
      </c>
      <c r="U31" s="12" t="str">
        <f aca="false">IF(K31&gt;=15%,"15%+",IF(K31&gt;=10%,"10-14%","Under 10%"))</f>
        <v>10-14%</v>
      </c>
      <c r="V31" s="12" t="str">
        <f aca="false">IF(OR(N31="Cancelled",N31="Returned"),"Lost",IF(N31="Shipped","In Transit","Completed"))</f>
        <v>Completed</v>
      </c>
      <c r="W31" s="12" t="str">
        <f aca="false">IF(O31=0,"Missing",IF(O31&gt;=4.5,"Excellent",IF(O31&gt;=4,"Good","Poor")))</f>
        <v>Good</v>
      </c>
      <c r="X31" s="12" t="str">
        <f aca="false">IF(AND(R31&gt;AVERAGE($R$2:$R$36),O31&gt;=4.5,V31&lt;&gt;"Lost"),"Key Customer",IF(AND(V31="Lost",R31&gt;AVERAGE($R$2:$R$36)),"Win Back",IF(V31="Lost","Follow Up","Regular")))</f>
        <v>Regular</v>
      </c>
    </row>
    <row r="32" customFormat="false" ht="15" hidden="false" customHeight="false" outlineLevel="0" collapsed="false">
      <c r="A32" s="6" t="s">
        <v>193</v>
      </c>
      <c r="B32" s="7" t="n">
        <v>46250</v>
      </c>
      <c r="C32" s="6" t="s">
        <v>194</v>
      </c>
      <c r="D32" s="6" t="s">
        <v>195</v>
      </c>
      <c r="E32" s="6" t="s">
        <v>90</v>
      </c>
      <c r="F32" s="6" t="s">
        <v>71</v>
      </c>
      <c r="G32" s="6" t="s">
        <v>196</v>
      </c>
      <c r="H32" s="6" t="s">
        <v>156</v>
      </c>
      <c r="I32" s="8" t="n">
        <v>1299</v>
      </c>
      <c r="J32" s="6" t="n">
        <v>2</v>
      </c>
      <c r="K32" s="9" t="n">
        <v>0.11</v>
      </c>
      <c r="L32" s="6" t="s">
        <v>58</v>
      </c>
      <c r="M32" s="6" t="s">
        <v>49</v>
      </c>
      <c r="N32" s="6" t="s">
        <v>50</v>
      </c>
      <c r="O32" s="10" t="n">
        <v>4.5</v>
      </c>
      <c r="P32" s="11" t="n">
        <f aca="false">I32*J32</f>
        <v>2598</v>
      </c>
      <c r="Q32" s="11" t="n">
        <f aca="false">P32*K32</f>
        <v>285.78</v>
      </c>
      <c r="R32" s="11" t="n">
        <f aca="false">P32-Q32</f>
        <v>2312.22</v>
      </c>
      <c r="S32" s="11" t="n">
        <f aca="false">IF(OR(N32="Cancelled",N32="Returned"),0,R32)</f>
        <v>2312.22</v>
      </c>
      <c r="T32" s="12" t="str">
        <f aca="false">IF(R32&gt;=4000,"High",IF(R32&gt;=2500,"Medium","Low"))</f>
        <v>Low</v>
      </c>
      <c r="U32" s="12" t="str">
        <f aca="false">IF(K32&gt;=15%,"15%+",IF(K32&gt;=10%,"10-14%","Under 10%"))</f>
        <v>10-14%</v>
      </c>
      <c r="V32" s="12" t="str">
        <f aca="false">IF(OR(N32="Cancelled",N32="Returned"),"Lost",IF(N32="Shipped","In Transit","Completed"))</f>
        <v>Completed</v>
      </c>
      <c r="W32" s="12" t="str">
        <f aca="false">IF(O32=0,"Missing",IF(O32&gt;=4.5,"Excellent",IF(O32&gt;=4,"Good","Poor")))</f>
        <v>Excellent</v>
      </c>
      <c r="X32" s="12" t="str">
        <f aca="false">IF(AND(R32&gt;AVERAGE($R$2:$R$36),O32&gt;=4.5,V32&lt;&gt;"Lost"),"Key Customer",IF(AND(V32="Lost",R32&gt;AVERAGE($R$2:$R$36)),"Win Back",IF(V32="Lost","Follow Up","Regular")))</f>
        <v>Regular</v>
      </c>
    </row>
    <row r="33" customFormat="false" ht="15" hidden="false" customHeight="false" outlineLevel="0" collapsed="false">
      <c r="A33" s="6" t="s">
        <v>197</v>
      </c>
      <c r="B33" s="7" t="n">
        <v>46250</v>
      </c>
      <c r="C33" s="6" t="s">
        <v>198</v>
      </c>
      <c r="D33" s="6" t="s">
        <v>199</v>
      </c>
      <c r="E33" s="6" t="s">
        <v>44</v>
      </c>
      <c r="F33" s="6" t="s">
        <v>45</v>
      </c>
      <c r="G33" s="6" t="s">
        <v>200</v>
      </c>
      <c r="H33" s="6" t="s">
        <v>201</v>
      </c>
      <c r="I33" s="8" t="n">
        <v>12999</v>
      </c>
      <c r="J33" s="6" t="n">
        <v>1</v>
      </c>
      <c r="K33" s="9" t="n">
        <v>0.3</v>
      </c>
      <c r="L33" s="6" t="s">
        <v>58</v>
      </c>
      <c r="M33" s="6" t="s">
        <v>49</v>
      </c>
      <c r="N33" s="6" t="s">
        <v>50</v>
      </c>
      <c r="O33" s="10" t="n">
        <v>4.9</v>
      </c>
      <c r="P33" s="11" t="n">
        <f aca="false">I33*J33</f>
        <v>12999</v>
      </c>
      <c r="Q33" s="11" t="n">
        <f aca="false">P33*K33</f>
        <v>3899.7</v>
      </c>
      <c r="R33" s="11" t="n">
        <f aca="false">P33-Q33</f>
        <v>9099.3</v>
      </c>
      <c r="S33" s="11" t="n">
        <f aca="false">IF(OR(N33="Cancelled",N33="Returned"),0,R33)</f>
        <v>9099.3</v>
      </c>
      <c r="T33" s="12" t="str">
        <f aca="false">IF(R33&gt;=4000,"High",IF(R33&gt;=2500,"Medium","Low"))</f>
        <v>High</v>
      </c>
      <c r="U33" s="12" t="str">
        <f aca="false">IF(K33&gt;=15%,"15%+",IF(K33&gt;=10%,"10-14%","Under 10%"))</f>
        <v>15%+</v>
      </c>
      <c r="V33" s="12" t="str">
        <f aca="false">IF(OR(N33="Cancelled",N33="Returned"),"Lost",IF(N33="Shipped","In Transit","Completed"))</f>
        <v>Completed</v>
      </c>
      <c r="W33" s="12" t="str">
        <f aca="false">IF(O33=0,"Missing",IF(O33&gt;=4.5,"Excellent",IF(O33&gt;=4,"Good","Poor")))</f>
        <v>Excellent</v>
      </c>
      <c r="X33" s="12" t="str">
        <f aca="false">IF(AND(R33&gt;AVERAGE($R$2:$R$36),O33&gt;=4.5,V33&lt;&gt;"Lost"),"Key Customer",IF(AND(V33="Lost",R33&gt;AVERAGE($R$2:$R$36)),"Win Back",IF(V33="Lost","Follow Up","Regular")))</f>
        <v>Key Customer</v>
      </c>
    </row>
    <row r="34" customFormat="false" ht="15" hidden="false" customHeight="false" outlineLevel="0" collapsed="false">
      <c r="A34" s="6" t="s">
        <v>202</v>
      </c>
      <c r="B34" s="7" t="n">
        <v>46251</v>
      </c>
      <c r="C34" s="6" t="s">
        <v>203</v>
      </c>
      <c r="D34" s="6" t="s">
        <v>204</v>
      </c>
      <c r="E34" s="6" t="s">
        <v>54</v>
      </c>
      <c r="F34" s="6" t="s">
        <v>63</v>
      </c>
      <c r="G34" s="6" t="s">
        <v>205</v>
      </c>
      <c r="H34" s="6" t="s">
        <v>47</v>
      </c>
      <c r="I34" s="8" t="n">
        <v>1599</v>
      </c>
      <c r="J34" s="6" t="n">
        <v>3</v>
      </c>
      <c r="K34" s="9" t="n">
        <v>0.17</v>
      </c>
      <c r="L34" s="6" t="s">
        <v>48</v>
      </c>
      <c r="M34" s="6" t="s">
        <v>49</v>
      </c>
      <c r="N34" s="6" t="s">
        <v>50</v>
      </c>
      <c r="O34" s="10" t="n">
        <v>4.2</v>
      </c>
      <c r="P34" s="11" t="n">
        <f aca="false">I34*J34</f>
        <v>4797</v>
      </c>
      <c r="Q34" s="11" t="n">
        <f aca="false">P34*K34</f>
        <v>815.49</v>
      </c>
      <c r="R34" s="11" t="n">
        <f aca="false">P34-Q34</f>
        <v>3981.51</v>
      </c>
      <c r="S34" s="11" t="n">
        <f aca="false">IF(OR(N34="Cancelled",N34="Returned"),0,R34)</f>
        <v>3981.51</v>
      </c>
      <c r="T34" s="12" t="str">
        <f aca="false">IF(R34&gt;=4000,"High",IF(R34&gt;=2500,"Medium","Low"))</f>
        <v>Medium</v>
      </c>
      <c r="U34" s="12" t="str">
        <f aca="false">IF(K34&gt;=15%,"15%+",IF(K34&gt;=10%,"10-14%","Under 10%"))</f>
        <v>15%+</v>
      </c>
      <c r="V34" s="12" t="str">
        <f aca="false">IF(OR(N34="Cancelled",N34="Returned"),"Lost",IF(N34="Shipped","In Transit","Completed"))</f>
        <v>Completed</v>
      </c>
      <c r="W34" s="12" t="str">
        <f aca="false">IF(O34=0,"Missing",IF(O34&gt;=4.5,"Excellent",IF(O34&gt;=4,"Good","Poor")))</f>
        <v>Good</v>
      </c>
      <c r="X34" s="12" t="str">
        <f aca="false">IF(AND(R34&gt;AVERAGE($R$2:$R$36),O34&gt;=4.5,V34&lt;&gt;"Lost"),"Key Customer",IF(AND(V34="Lost",R34&gt;AVERAGE($R$2:$R$36)),"Win Back",IF(V34="Lost","Follow Up","Regular")))</f>
        <v>Regular</v>
      </c>
    </row>
    <row r="35" customFormat="false" ht="15" hidden="false" customHeight="false" outlineLevel="0" collapsed="false">
      <c r="A35" s="6" t="s">
        <v>206</v>
      </c>
      <c r="B35" s="7" t="n">
        <v>46251</v>
      </c>
      <c r="C35" s="6" t="s">
        <v>207</v>
      </c>
      <c r="D35" s="6" t="s">
        <v>208</v>
      </c>
      <c r="E35" s="6" t="s">
        <v>62</v>
      </c>
      <c r="F35" s="6" t="s">
        <v>91</v>
      </c>
      <c r="G35" s="6" t="s">
        <v>209</v>
      </c>
      <c r="H35" s="6" t="s">
        <v>86</v>
      </c>
      <c r="I35" s="8" t="n">
        <v>899</v>
      </c>
      <c r="J35" s="6" t="n">
        <v>2</v>
      </c>
      <c r="K35" s="9" t="n">
        <v>0.1</v>
      </c>
      <c r="L35" s="6" t="s">
        <v>48</v>
      </c>
      <c r="M35" s="6" t="s">
        <v>66</v>
      </c>
      <c r="N35" s="6" t="s">
        <v>50</v>
      </c>
      <c r="O35" s="10" t="n">
        <v>4.6</v>
      </c>
      <c r="P35" s="11" t="n">
        <f aca="false">I35*J35</f>
        <v>1798</v>
      </c>
      <c r="Q35" s="11" t="n">
        <f aca="false">P35*K35</f>
        <v>179.8</v>
      </c>
      <c r="R35" s="11" t="n">
        <f aca="false">P35-Q35</f>
        <v>1618.2</v>
      </c>
      <c r="S35" s="11" t="n">
        <f aca="false">IF(OR(N35="Cancelled",N35="Returned"),0,R35)</f>
        <v>1618.2</v>
      </c>
      <c r="T35" s="12" t="str">
        <f aca="false">IF(R35&gt;=4000,"High",IF(R35&gt;=2500,"Medium","Low"))</f>
        <v>Low</v>
      </c>
      <c r="U35" s="12" t="str">
        <f aca="false">IF(K35&gt;=15%,"15%+",IF(K35&gt;=10%,"10-14%","Under 10%"))</f>
        <v>10-14%</v>
      </c>
      <c r="V35" s="12" t="str">
        <f aca="false">IF(OR(N35="Cancelled",N35="Returned"),"Lost",IF(N35="Shipped","In Transit","Completed"))</f>
        <v>Completed</v>
      </c>
      <c r="W35" s="12" t="str">
        <f aca="false">IF(O35=0,"Missing",IF(O35&gt;=4.5,"Excellent",IF(O35&gt;=4,"Good","Poor")))</f>
        <v>Excellent</v>
      </c>
      <c r="X35" s="12" t="str">
        <f aca="false">IF(AND(R35&gt;AVERAGE($R$2:$R$36),O35&gt;=4.5,V35&lt;&gt;"Lost"),"Key Customer",IF(AND(V35="Lost",R35&gt;AVERAGE($R$2:$R$36)),"Win Back",IF(V35="Lost","Follow Up","Regular")))</f>
        <v>Regular</v>
      </c>
    </row>
    <row r="36" customFormat="false" ht="15" hidden="false" customHeight="false" outlineLevel="0" collapsed="false">
      <c r="A36" s="6" t="s">
        <v>210</v>
      </c>
      <c r="B36" s="7" t="n">
        <v>46252</v>
      </c>
      <c r="C36" s="6" t="s">
        <v>211</v>
      </c>
      <c r="D36" s="6" t="s">
        <v>212</v>
      </c>
      <c r="E36" s="6" t="s">
        <v>70</v>
      </c>
      <c r="F36" s="6" t="s">
        <v>55</v>
      </c>
      <c r="G36" s="6" t="s">
        <v>213</v>
      </c>
      <c r="H36" s="6" t="s">
        <v>86</v>
      </c>
      <c r="I36" s="8" t="n">
        <v>2299</v>
      </c>
      <c r="J36" s="6" t="n">
        <v>1</v>
      </c>
      <c r="K36" s="9" t="n">
        <v>0.14</v>
      </c>
      <c r="L36" s="6" t="s">
        <v>58</v>
      </c>
      <c r="M36" s="6" t="s">
        <v>49</v>
      </c>
      <c r="N36" s="6" t="s">
        <v>214</v>
      </c>
      <c r="O36" s="10" t="n">
        <v>3.1</v>
      </c>
      <c r="P36" s="11" t="n">
        <f aca="false">I36*J36</f>
        <v>2299</v>
      </c>
      <c r="Q36" s="11" t="n">
        <f aca="false">P36*K36</f>
        <v>321.86</v>
      </c>
      <c r="R36" s="11" t="n">
        <f aca="false">P36-Q36</f>
        <v>1977.14</v>
      </c>
      <c r="S36" s="11" t="n">
        <f aca="false">IF(OR(N36="Cancelled",N36="Returned"),0,R36)</f>
        <v>0</v>
      </c>
      <c r="T36" s="12" t="str">
        <f aca="false">IF(R36&gt;=4000,"High",IF(R36&gt;=2500,"Medium","Low"))</f>
        <v>Low</v>
      </c>
      <c r="U36" s="12" t="str">
        <f aca="false">IF(K36&gt;=15%,"15%+",IF(K36&gt;=10%,"10-14%","Under 10%"))</f>
        <v>10-14%</v>
      </c>
      <c r="V36" s="12" t="str">
        <f aca="false">IF(OR(N36="Cancelled",N36="Returned"),"Lost",IF(N36="Shipped","In Transit","Completed"))</f>
        <v>Lost</v>
      </c>
      <c r="W36" s="12" t="str">
        <f aca="false">IF(O36=0,"Missing",IF(O36&gt;=4.5,"Excellent",IF(O36&gt;=4,"Good","Poor")))</f>
        <v>Poor</v>
      </c>
      <c r="X36" s="12" t="str">
        <f aca="false">IF(AND(R36&gt;AVERAGE($R$2:$R$36),O36&gt;=4.5,V36&lt;&gt;"Lost"),"Key Customer",IF(AND(V36="Lost",R36&gt;AVERAGE($R$2:$R$36)),"Win Back",IF(V36="Lost","Follow Up","Regular")))</f>
        <v>Follow Up</v>
      </c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</row>
    <row r="38" customFormat="false" ht="15" hidden="false" customHeight="false" outlineLevel="0" collapsed="false">
      <c r="A38" s="14" t="s">
        <v>215</v>
      </c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</row>
  </sheetData>
  <autoFilter ref="A1:X36"/>
  <conditionalFormatting sqref="A2:X36">
    <cfRule type="expression" priority="2" aboveAverage="0" equalAverage="0" bottom="0" percent="0" rank="0" text="" dxfId="7">
      <formula>$V2="Lost"</formula>
    </cfRule>
  </conditionalFormatting>
  <conditionalFormatting sqref="A2:R36">
    <cfRule type="expression" priority="3" aboveAverage="0" equalAverage="0" bottom="0" percent="0" rank="0" text="" dxfId="8">
      <formula>$R2&gt;AVERAGE($R$2:$R$36)</formula>
    </cfRule>
  </conditionalFormatting>
  <conditionalFormatting sqref="K2:K36">
    <cfRule type="expression" priority="4" aboveAverage="0" equalAverage="0" bottom="0" percent="0" rank="0" text="" dxfId="9">
      <formula>$K2&gt;=0.2</formula>
    </cfRule>
  </conditionalFormatting>
  <conditionalFormatting sqref="O2:O36">
    <cfRule type="colorScale" priority="5">
      <colorScale>
        <cfvo type="num" val="3"/>
        <cfvo type="num" val="4.2"/>
        <cfvo type="num" val="5"/>
        <color rgb="FFF8696B"/>
        <color rgb="FFFFEB84"/>
        <color rgb="FF63BE7B"/>
      </colorScale>
    </cfRule>
  </conditionalFormatting>
  <conditionalFormatting sqref="R2:R36">
    <cfRule type="dataBar" priority="6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{7AB91BB2-F7D2-4E5C-BD20-3B2AF66537BB}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B91BB2-F7D2-4E5C-BD20-3B2AF66537BB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R2:R36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9" min="2" style="0" width="13"/>
  </cols>
  <sheetData>
    <row r="1" customFormat="false" ht="19.7" hidden="false" customHeight="false" outlineLevel="0" collapsed="false">
      <c r="A1" s="15" t="s">
        <v>216</v>
      </c>
      <c r="B1" s="13"/>
      <c r="C1" s="13"/>
      <c r="D1" s="13"/>
      <c r="E1" s="13"/>
      <c r="F1" s="13"/>
      <c r="G1" s="13"/>
      <c r="H1" s="13"/>
      <c r="I1" s="13"/>
    </row>
    <row r="2" customFormat="false" ht="15" hidden="false" customHeight="false" outlineLevel="0" collapsed="false">
      <c r="A2" s="14" t="s">
        <v>217</v>
      </c>
      <c r="B2" s="13"/>
      <c r="C2" s="13"/>
      <c r="D2" s="13"/>
      <c r="E2" s="13"/>
      <c r="F2" s="13"/>
      <c r="G2" s="13"/>
      <c r="H2" s="13"/>
      <c r="I2" s="13"/>
    </row>
    <row r="3" customFormat="false" ht="15" hidden="false" customHeight="false" outlineLevel="0" collapsed="false">
      <c r="A3" s="13"/>
      <c r="B3" s="13"/>
      <c r="C3" s="13"/>
      <c r="D3" s="13"/>
      <c r="E3" s="13"/>
      <c r="F3" s="13"/>
      <c r="G3" s="13"/>
      <c r="H3" s="13"/>
      <c r="I3" s="13"/>
    </row>
    <row r="4" customFormat="false" ht="15" hidden="false" customHeight="false" outlineLevel="0" collapsed="false">
      <c r="A4" s="16" t="s">
        <v>218</v>
      </c>
      <c r="B4" s="13"/>
      <c r="C4" s="13"/>
      <c r="D4" s="13"/>
      <c r="E4" s="13"/>
      <c r="F4" s="13"/>
      <c r="G4" s="13"/>
      <c r="H4" s="13"/>
      <c r="I4" s="13"/>
    </row>
    <row r="5" customFormat="false" ht="15" hidden="false" customHeight="false" outlineLevel="0" collapsed="false">
      <c r="A5" s="12" t="s">
        <v>219</v>
      </c>
      <c r="B5" s="17" t="n">
        <f aca="false">COUNTA(Data!$A$2:$A$36)</f>
        <v>35</v>
      </c>
      <c r="C5" s="13"/>
      <c r="D5" s="13"/>
      <c r="E5" s="13"/>
      <c r="F5" s="13"/>
      <c r="G5" s="13"/>
      <c r="H5" s="13"/>
      <c r="I5" s="13"/>
    </row>
    <row r="6" customFormat="false" ht="15" hidden="false" customHeight="false" outlineLevel="0" collapsed="false">
      <c r="A6" s="12" t="s">
        <v>220</v>
      </c>
      <c r="B6" s="18" t="n">
        <f aca="false">SUM(Data!$R$2:$R$36)</f>
        <v>102458.91</v>
      </c>
      <c r="C6" s="13"/>
      <c r="D6" s="13"/>
      <c r="E6" s="13"/>
      <c r="F6" s="13"/>
      <c r="G6" s="13"/>
      <c r="H6" s="13"/>
      <c r="I6" s="13"/>
    </row>
    <row r="7" customFormat="false" ht="15" hidden="false" customHeight="false" outlineLevel="0" collapsed="false">
      <c r="A7" s="12" t="s">
        <v>221</v>
      </c>
      <c r="B7" s="18" t="n">
        <f aca="false">SUM(Data!$S$2:$S$36)</f>
        <v>71013.78</v>
      </c>
      <c r="C7" s="13"/>
      <c r="D7" s="13"/>
      <c r="E7" s="13"/>
      <c r="F7" s="13"/>
      <c r="G7" s="13"/>
      <c r="H7" s="13"/>
      <c r="I7" s="13"/>
    </row>
    <row r="8" customFormat="false" ht="15" hidden="false" customHeight="false" outlineLevel="0" collapsed="false">
      <c r="A8" s="12" t="s">
        <v>222</v>
      </c>
      <c r="B8" s="18" t="n">
        <f aca="false">B6-B7</f>
        <v>31445.13</v>
      </c>
      <c r="C8" s="13"/>
      <c r="D8" s="13"/>
      <c r="E8" s="13"/>
      <c r="F8" s="13"/>
      <c r="G8" s="13"/>
      <c r="H8" s="13"/>
      <c r="I8" s="13"/>
    </row>
    <row r="9" customFormat="false" ht="15" hidden="false" customHeight="false" outlineLevel="0" collapsed="false">
      <c r="A9" s="12" t="s">
        <v>223</v>
      </c>
      <c r="B9" s="19" t="n">
        <f aca="false">IFERROR(B8/B6,0)</f>
        <v>0.306904787489931</v>
      </c>
      <c r="C9" s="13"/>
      <c r="D9" s="13"/>
      <c r="E9" s="13"/>
      <c r="F9" s="13"/>
      <c r="G9" s="13"/>
      <c r="H9" s="13"/>
      <c r="I9" s="13"/>
    </row>
    <row r="10" customFormat="false" ht="15" hidden="false" customHeight="false" outlineLevel="0" collapsed="false">
      <c r="A10" s="12" t="s">
        <v>224</v>
      </c>
      <c r="B10" s="17" t="n">
        <f aca="false">COUNTIF(Data!$V$2:$V$36,"Lost")</f>
        <v>11</v>
      </c>
      <c r="C10" s="13"/>
      <c r="D10" s="13"/>
      <c r="E10" s="13"/>
      <c r="F10" s="13"/>
      <c r="G10" s="13"/>
      <c r="H10" s="13"/>
      <c r="I10" s="13"/>
    </row>
    <row r="11" customFormat="false" ht="15" hidden="false" customHeight="false" outlineLevel="0" collapsed="false">
      <c r="A11" s="12" t="s">
        <v>225</v>
      </c>
      <c r="B11" s="18" t="n">
        <f aca="false">IFERROR(B6/B5,0)</f>
        <v>2927.39742857143</v>
      </c>
      <c r="C11" s="13"/>
      <c r="D11" s="13"/>
      <c r="E11" s="13"/>
      <c r="F11" s="13"/>
      <c r="G11" s="13"/>
      <c r="H11" s="13"/>
      <c r="I11" s="13"/>
    </row>
    <row r="12" customFormat="false" ht="15" hidden="false" customHeight="false" outlineLevel="0" collapsed="false">
      <c r="A12" s="12" t="s">
        <v>226</v>
      </c>
      <c r="B12" s="20" t="n">
        <f aca="false">AVERAGEIF(Data!$O$2:$O$36,"&gt;0")</f>
        <v>4.26176470588235</v>
      </c>
      <c r="C12" s="13"/>
      <c r="D12" s="13"/>
      <c r="E12" s="13"/>
      <c r="F12" s="13"/>
      <c r="G12" s="13"/>
      <c r="H12" s="13"/>
      <c r="I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3"/>
      <c r="H13" s="13"/>
      <c r="I13" s="13"/>
    </row>
    <row r="14" customFormat="false" ht="15" hidden="false" customHeight="false" outlineLevel="0" collapsed="false">
      <c r="A14" s="16" t="s">
        <v>227</v>
      </c>
      <c r="B14" s="13"/>
      <c r="C14" s="13"/>
      <c r="D14" s="13"/>
      <c r="E14" s="13"/>
      <c r="F14" s="13"/>
      <c r="G14" s="13"/>
      <c r="H14" s="13"/>
      <c r="I14" s="13"/>
    </row>
    <row r="15" customFormat="false" ht="23.85" hidden="false" customHeight="false" outlineLevel="0" collapsed="false">
      <c r="A15" s="21" t="s">
        <v>228</v>
      </c>
      <c r="B15" s="21" t="s">
        <v>229</v>
      </c>
      <c r="C15" s="21" t="s">
        <v>230</v>
      </c>
      <c r="D15" s="21" t="s">
        <v>35</v>
      </c>
      <c r="E15" s="21" t="s">
        <v>231</v>
      </c>
      <c r="F15" s="21" t="s">
        <v>232</v>
      </c>
      <c r="G15" s="21" t="s">
        <v>233</v>
      </c>
      <c r="H15" s="21" t="s">
        <v>234</v>
      </c>
      <c r="I15" s="21" t="s">
        <v>235</v>
      </c>
    </row>
    <row r="16" customFormat="false" ht="15" hidden="false" customHeight="false" outlineLevel="0" collapsed="false">
      <c r="A16" s="12" t="s">
        <v>45</v>
      </c>
      <c r="B16" s="12" t="n">
        <f aca="false">COUNTIF(Data!$F$2:$F$36,A16)</f>
        <v>9</v>
      </c>
      <c r="C16" s="22" t="n">
        <f aca="false">SUMIFS(Data!$R$2:$R$36,Data!$F$2:$F$36,A16)</f>
        <v>34559.24</v>
      </c>
      <c r="D16" s="22" t="n">
        <f aca="false">SUMIFS(Data!$S$2:$S$36,Data!$F$2:$F$36,A16)</f>
        <v>20464.27</v>
      </c>
      <c r="E16" s="22" t="n">
        <f aca="false">C16-D16</f>
        <v>14094.97</v>
      </c>
      <c r="F16" s="23" t="n">
        <f aca="false">IFERROR(E16/C16,0)</f>
        <v>0.407849536043038</v>
      </c>
      <c r="G16" s="12" t="n">
        <f aca="false">COUNTIFS(Data!$F$2:$F$36,A16,Data!$V$2:$V$36,"Lost")</f>
        <v>4</v>
      </c>
      <c r="H16" s="24" t="n">
        <f aca="false">IFERROR(AVERAGEIFS(Data!$O$2:$O$36,Data!$F$2:$F$36,A16,Data!$O$2:$O$36,"&gt;0"),0)</f>
        <v>4.55</v>
      </c>
      <c r="I16" s="23" t="n">
        <f aca="false">IFERROR(C16/$B$6,0)</f>
        <v>0.337298532650796</v>
      </c>
    </row>
    <row r="17" customFormat="false" ht="15" hidden="false" customHeight="false" outlineLevel="0" collapsed="false">
      <c r="A17" s="12" t="s">
        <v>63</v>
      </c>
      <c r="B17" s="12" t="n">
        <f aca="false">COUNTIF(Data!$F$2:$F$36,A17)</f>
        <v>8</v>
      </c>
      <c r="C17" s="22" t="n">
        <f aca="false">SUMIFS(Data!$R$2:$R$36,Data!$F$2:$F$36,A17)</f>
        <v>23224.81</v>
      </c>
      <c r="D17" s="22" t="n">
        <f aca="false">SUMIFS(Data!$S$2:$S$36,Data!$F$2:$F$36,A17)</f>
        <v>17949.71</v>
      </c>
      <c r="E17" s="22" t="n">
        <f aca="false">C17-D17</f>
        <v>5275.1</v>
      </c>
      <c r="F17" s="23" t="n">
        <f aca="false">IFERROR(E17/C17,0)</f>
        <v>0.227132105709369</v>
      </c>
      <c r="G17" s="12" t="n">
        <f aca="false">COUNTIFS(Data!$F$2:$F$36,A17,Data!$V$2:$V$36,"Lost")</f>
        <v>2</v>
      </c>
      <c r="H17" s="24" t="n">
        <f aca="false">IFERROR(AVERAGEIFS(Data!$O$2:$O$36,Data!$F$2:$F$36,A17,Data!$O$2:$O$36,"&gt;0"),0)</f>
        <v>4.3875</v>
      </c>
      <c r="I17" s="23" t="n">
        <f aca="false">IFERROR(C17/$B$6,0)</f>
        <v>0.226674380978677</v>
      </c>
    </row>
    <row r="18" customFormat="false" ht="15" hidden="false" customHeight="false" outlineLevel="0" collapsed="false">
      <c r="A18" s="12" t="s">
        <v>55</v>
      </c>
      <c r="B18" s="12" t="n">
        <f aca="false">COUNTIF(Data!$F$2:$F$36,A18)</f>
        <v>7</v>
      </c>
      <c r="C18" s="22" t="n">
        <f aca="false">SUMIFS(Data!$R$2:$R$36,Data!$F$2:$F$36,A18)</f>
        <v>20261.15</v>
      </c>
      <c r="D18" s="22" t="n">
        <f aca="false">SUMIFS(Data!$S$2:$S$36,Data!$F$2:$F$36,A18)</f>
        <v>15344.85</v>
      </c>
      <c r="E18" s="22" t="n">
        <f aca="false">C18-D18</f>
        <v>4916.3</v>
      </c>
      <c r="F18" s="23" t="n">
        <f aca="false">IFERROR(E18/C18,0)</f>
        <v>0.242646641478889</v>
      </c>
      <c r="G18" s="12" t="n">
        <f aca="false">COUNTIFS(Data!$F$2:$F$36,A18,Data!$V$2:$V$36,"Lost")</f>
        <v>2</v>
      </c>
      <c r="H18" s="24" t="n">
        <f aca="false">IFERROR(AVERAGEIFS(Data!$O$2:$O$36,Data!$F$2:$F$36,A18,Data!$O$2:$O$36,"&gt;0"),0)</f>
        <v>3.91428571428571</v>
      </c>
      <c r="I18" s="23" t="n">
        <f aca="false">IFERROR(C18/$B$6,0)</f>
        <v>0.197749029342592</v>
      </c>
    </row>
    <row r="19" customFormat="false" ht="15" hidden="false" customHeight="false" outlineLevel="0" collapsed="false">
      <c r="A19" s="12" t="s">
        <v>71</v>
      </c>
      <c r="B19" s="12" t="n">
        <f aca="false">COUNTIF(Data!$F$2:$F$36,A19)</f>
        <v>6</v>
      </c>
      <c r="C19" s="22" t="n">
        <f aca="false">SUMIFS(Data!$R$2:$R$36,Data!$F$2:$F$36,A19)</f>
        <v>13856.74</v>
      </c>
      <c r="D19" s="22" t="n">
        <f aca="false">SUMIFS(Data!$S$2:$S$36,Data!$F$2:$F$36,A19)</f>
        <v>11386.74</v>
      </c>
      <c r="E19" s="22" t="n">
        <f aca="false">C19-D19</f>
        <v>2470</v>
      </c>
      <c r="F19" s="23" t="n">
        <f aca="false">IFERROR(E19/C19,0)</f>
        <v>0.178252604869544</v>
      </c>
      <c r="G19" s="12" t="n">
        <f aca="false">COUNTIFS(Data!$F$2:$F$36,A19,Data!$V$2:$V$36,"Lost")</f>
        <v>1</v>
      </c>
      <c r="H19" s="24" t="n">
        <f aca="false">IFERROR(AVERAGEIFS(Data!$O$2:$O$36,Data!$F$2:$F$36,A19,Data!$O$2:$O$36,"&gt;0"),0)</f>
        <v>4.01666666666667</v>
      </c>
      <c r="I19" s="23" t="n">
        <f aca="false">IFERROR(C19/$B$6,0)</f>
        <v>0.135241922835213</v>
      </c>
    </row>
    <row r="20" customFormat="false" ht="15" hidden="false" customHeight="false" outlineLevel="0" collapsed="false">
      <c r="A20" s="12" t="s">
        <v>91</v>
      </c>
      <c r="B20" s="12" t="n">
        <f aca="false">COUNTIF(Data!$F$2:$F$36,A20)</f>
        <v>5</v>
      </c>
      <c r="C20" s="22" t="n">
        <f aca="false">SUMIFS(Data!$R$2:$R$36,Data!$F$2:$F$36,A20)</f>
        <v>10556.97</v>
      </c>
      <c r="D20" s="22" t="n">
        <f aca="false">SUMIFS(Data!$S$2:$S$36,Data!$F$2:$F$36,A20)</f>
        <v>5868.21</v>
      </c>
      <c r="E20" s="22" t="n">
        <f aca="false">C20-D20</f>
        <v>4688.76</v>
      </c>
      <c r="F20" s="23" t="n">
        <f aca="false">IFERROR(E20/C20,0)</f>
        <v>0.444138801190114</v>
      </c>
      <c r="G20" s="12" t="n">
        <f aca="false">COUNTIFS(Data!$F$2:$F$36,A20,Data!$V$2:$V$36,"Lost")</f>
        <v>2</v>
      </c>
      <c r="H20" s="24" t="n">
        <f aca="false">IFERROR(AVERAGEIFS(Data!$O$2:$O$36,Data!$F$2:$F$36,A20,Data!$O$2:$O$36,"&gt;0"),0)</f>
        <v>4.38</v>
      </c>
      <c r="I20" s="23" t="n">
        <f aca="false">IFERROR(C20/$B$6,0)</f>
        <v>0.103036134192722</v>
      </c>
    </row>
    <row r="21" customFormat="false" ht="15" hidden="false" customHeight="false" outlineLevel="0" collapsed="false">
      <c r="A21" s="25" t="s">
        <v>236</v>
      </c>
      <c r="B21" s="25" t="n">
        <f aca="false">SUM(B16:B20)</f>
        <v>35</v>
      </c>
      <c r="C21" s="26" t="n">
        <f aca="false">SUM(C16:C20)</f>
        <v>102458.91</v>
      </c>
      <c r="D21" s="26" t="n">
        <f aca="false">SUM(D16:D20)</f>
        <v>71013.78</v>
      </c>
      <c r="E21" s="26" t="n">
        <f aca="false">SUM(E16:E20)</f>
        <v>31445.13</v>
      </c>
      <c r="F21" s="27" t="n">
        <f aca="false">IFERROR(E21/C21,0)</f>
        <v>0.306904787489931</v>
      </c>
      <c r="G21" s="25" t="n">
        <f aca="false">SUM(G16:G20)</f>
        <v>11</v>
      </c>
      <c r="H21" s="28" t="n">
        <f aca="false">AVERAGEIF(Data!$O$2:$O$36,"&gt;0")</f>
        <v>4.26176470588235</v>
      </c>
      <c r="I21" s="27" t="n">
        <f aca="false">IFERROR(C21/$B$6,0)</f>
        <v>1</v>
      </c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" hidden="false" customHeight="false" outlineLevel="0" collapsed="false">
      <c r="A24" s="16" t="s">
        <v>237</v>
      </c>
      <c r="B24" s="13"/>
      <c r="C24" s="13"/>
      <c r="D24" s="13"/>
      <c r="E24" s="13"/>
      <c r="F24" s="13"/>
      <c r="G24" s="13"/>
      <c r="H24" s="13"/>
      <c r="I24" s="13"/>
    </row>
    <row r="25" customFormat="false" ht="23.85" hidden="false" customHeight="false" outlineLevel="0" collapsed="false">
      <c r="A25" s="21" t="s">
        <v>228</v>
      </c>
      <c r="B25" s="21" t="s">
        <v>229</v>
      </c>
      <c r="C25" s="21" t="s">
        <v>230</v>
      </c>
      <c r="D25" s="21" t="s">
        <v>35</v>
      </c>
      <c r="E25" s="21" t="s">
        <v>231</v>
      </c>
      <c r="F25" s="21" t="s">
        <v>232</v>
      </c>
      <c r="G25" s="21" t="s">
        <v>233</v>
      </c>
      <c r="H25" s="21" t="s">
        <v>234</v>
      </c>
      <c r="I25" s="21" t="s">
        <v>235</v>
      </c>
    </row>
    <row r="26" customFormat="false" ht="15" hidden="false" customHeight="false" outlineLevel="0" collapsed="false">
      <c r="A26" s="12" t="s">
        <v>44</v>
      </c>
      <c r="B26" s="12" t="n">
        <f aca="false">COUNTIF(Data!$E$2:$E$36,A26)</f>
        <v>7</v>
      </c>
      <c r="C26" s="22" t="n">
        <f aca="false">SUMIFS(Data!$R$2:$R$36,Data!$E$2:$E$36,A26)</f>
        <v>24308.51</v>
      </c>
      <c r="D26" s="22" t="n">
        <f aca="false">SUMIFS(Data!$S$2:$S$36,Data!$E$2:$E$36,A26)</f>
        <v>17977.79</v>
      </c>
      <c r="E26" s="22" t="n">
        <f aca="false">C26-D26</f>
        <v>6330.72</v>
      </c>
      <c r="F26" s="23" t="n">
        <f aca="false">IFERROR(E26/C26,0)</f>
        <v>0.26043225191507</v>
      </c>
      <c r="G26" s="12" t="n">
        <f aca="false">COUNTIFS(Data!$E$2:$E$36,A26,Data!$V$2:$V$36,"Lost")</f>
        <v>2</v>
      </c>
      <c r="H26" s="24" t="n">
        <f aca="false">IFERROR(AVERAGEIFS(Data!$O$2:$O$36,Data!$E$2:$E$36,A26,Data!$O$2:$O$36,"&gt;0"),0)</f>
        <v>4.48571428571429</v>
      </c>
      <c r="I26" s="23" t="n">
        <f aca="false">IFERROR(C26/$B$6,0)</f>
        <v>0.237251303961754</v>
      </c>
    </row>
    <row r="27" customFormat="false" ht="15" hidden="false" customHeight="false" outlineLevel="0" collapsed="false">
      <c r="A27" s="12" t="s">
        <v>84</v>
      </c>
      <c r="B27" s="12" t="n">
        <f aca="false">COUNTIF(Data!$E$2:$E$36,A27)</f>
        <v>5</v>
      </c>
      <c r="C27" s="22" t="n">
        <f aca="false">SUMIFS(Data!$R$2:$R$36,Data!$E$2:$E$36,A27)</f>
        <v>16496.31</v>
      </c>
      <c r="D27" s="22" t="n">
        <f aca="false">SUMIFS(Data!$S$2:$S$36,Data!$E$2:$E$36,A27)</f>
        <v>11557.95</v>
      </c>
      <c r="E27" s="22" t="n">
        <f aca="false">C27-D27</f>
        <v>4938.36</v>
      </c>
      <c r="F27" s="23" t="n">
        <f aca="false">IFERROR(E27/C27,0)</f>
        <v>0.29936149357038</v>
      </c>
      <c r="G27" s="12" t="n">
        <f aca="false">COUNTIFS(Data!$E$2:$E$36,A27,Data!$V$2:$V$36,"Lost")</f>
        <v>2</v>
      </c>
      <c r="H27" s="24" t="n">
        <f aca="false">IFERROR(AVERAGEIFS(Data!$O$2:$O$36,Data!$E$2:$E$36,A27,Data!$O$2:$O$36,"&gt;0"),0)</f>
        <v>4.16</v>
      </c>
      <c r="I27" s="23" t="n">
        <f aca="false">IFERROR(C27/$B$6,0)</f>
        <v>0.161004152786712</v>
      </c>
    </row>
    <row r="28" customFormat="false" ht="15" hidden="false" customHeight="false" outlineLevel="0" collapsed="false">
      <c r="A28" s="12" t="s">
        <v>54</v>
      </c>
      <c r="B28" s="12" t="n">
        <f aca="false">COUNTIF(Data!$E$2:$E$36,A28)</f>
        <v>6</v>
      </c>
      <c r="C28" s="22" t="n">
        <f aca="false">SUMIFS(Data!$R$2:$R$36,Data!$E$2:$E$36,A28)</f>
        <v>16330.94</v>
      </c>
      <c r="D28" s="22" t="n">
        <f aca="false">SUMIFS(Data!$S$2:$S$36,Data!$E$2:$E$36,A28)</f>
        <v>14102.66</v>
      </c>
      <c r="E28" s="22" t="n">
        <f aca="false">C28-D28</f>
        <v>2228.28</v>
      </c>
      <c r="F28" s="23" t="n">
        <f aca="false">IFERROR(E28/C28,0)</f>
        <v>0.136445299535728</v>
      </c>
      <c r="G28" s="12" t="n">
        <f aca="false">COUNTIFS(Data!$E$2:$E$36,A28,Data!$V$2:$V$36,"Lost")</f>
        <v>1</v>
      </c>
      <c r="H28" s="24" t="n">
        <f aca="false">IFERROR(AVERAGEIFS(Data!$O$2:$O$36,Data!$E$2:$E$36,A28,Data!$O$2:$O$36,"&gt;0"),0)</f>
        <v>4.11666666666667</v>
      </c>
      <c r="I28" s="23" t="n">
        <f aca="false">IFERROR(C28/$B$6,0)</f>
        <v>0.159390139910721</v>
      </c>
    </row>
    <row r="29" customFormat="false" ht="15" hidden="false" customHeight="false" outlineLevel="0" collapsed="false">
      <c r="A29" s="12" t="s">
        <v>62</v>
      </c>
      <c r="B29" s="12" t="n">
        <f aca="false">COUNTIF(Data!$E$2:$E$36,A29)</f>
        <v>6</v>
      </c>
      <c r="C29" s="22" t="n">
        <f aca="false">SUMIFS(Data!$R$2:$R$36,Data!$E$2:$E$36,A29)</f>
        <v>16011.31</v>
      </c>
      <c r="D29" s="22" t="n">
        <f aca="false">SUMIFS(Data!$S$2:$S$36,Data!$E$2:$E$36,A29)</f>
        <v>12809.09</v>
      </c>
      <c r="E29" s="22" t="n">
        <f aca="false">C29-D29</f>
        <v>3202.22</v>
      </c>
      <c r="F29" s="23" t="n">
        <f aca="false">IFERROR(E29/C29,0)</f>
        <v>0.199997376854236</v>
      </c>
      <c r="G29" s="12" t="n">
        <f aca="false">COUNTIFS(Data!$E$2:$E$36,A29,Data!$V$2:$V$36,"Lost")</f>
        <v>1</v>
      </c>
      <c r="H29" s="24" t="n">
        <f aca="false">IFERROR(AVERAGEIFS(Data!$O$2:$O$36,Data!$E$2:$E$36,A29,Data!$O$2:$O$36,"&gt;0"),0)</f>
        <v>4.36666666666667</v>
      </c>
      <c r="I29" s="23" t="n">
        <f aca="false">IFERROR(C29/$B$6,0)</f>
        <v>0.156270547871337</v>
      </c>
    </row>
    <row r="30" customFormat="false" ht="15" hidden="false" customHeight="false" outlineLevel="0" collapsed="false">
      <c r="A30" s="12" t="s">
        <v>70</v>
      </c>
      <c r="B30" s="12" t="n">
        <f aca="false">COUNTIF(Data!$E$2:$E$36,A30)</f>
        <v>6</v>
      </c>
      <c r="C30" s="22" t="n">
        <f aca="false">SUMIFS(Data!$R$2:$R$36,Data!$E$2:$E$36,A30)</f>
        <v>15778.75</v>
      </c>
      <c r="D30" s="22" t="n">
        <f aca="false">SUMIFS(Data!$S$2:$S$36,Data!$E$2:$E$36,A30)</f>
        <v>4657.41</v>
      </c>
      <c r="E30" s="22" t="n">
        <f aca="false">C30-D30</f>
        <v>11121.34</v>
      </c>
      <c r="F30" s="23" t="n">
        <f aca="false">IFERROR(E30/C30,0)</f>
        <v>0.704830230531569</v>
      </c>
      <c r="G30" s="12" t="n">
        <f aca="false">COUNTIFS(Data!$E$2:$E$36,A30,Data!$V$2:$V$36,"Lost")</f>
        <v>4</v>
      </c>
      <c r="H30" s="24" t="n">
        <f aca="false">IFERROR(AVERAGEIFS(Data!$O$2:$O$36,Data!$E$2:$E$36,A30,Data!$O$2:$O$36,"&gt;0"),0)</f>
        <v>4.12</v>
      </c>
      <c r="I30" s="23" t="n">
        <f aca="false">IFERROR(C30/$B$6,0)</f>
        <v>0.154000759914389</v>
      </c>
    </row>
    <row r="31" customFormat="false" ht="15" hidden="false" customHeight="false" outlineLevel="0" collapsed="false">
      <c r="A31" s="12" t="s">
        <v>90</v>
      </c>
      <c r="B31" s="12" t="n">
        <f aca="false">COUNTIF(Data!$E$2:$E$36,A31)</f>
        <v>5</v>
      </c>
      <c r="C31" s="22" t="n">
        <f aca="false">SUMIFS(Data!$R$2:$R$36,Data!$E$2:$E$36,A31)</f>
        <v>13533.09</v>
      </c>
      <c r="D31" s="22" t="n">
        <f aca="false">SUMIFS(Data!$S$2:$S$36,Data!$E$2:$E$36,A31)</f>
        <v>9908.88</v>
      </c>
      <c r="E31" s="22" t="n">
        <f aca="false">C31-D31</f>
        <v>3624.21</v>
      </c>
      <c r="F31" s="23" t="n">
        <f aca="false">IFERROR(E31/C31,0)</f>
        <v>0.267803583660494</v>
      </c>
      <c r="G31" s="12" t="n">
        <f aca="false">COUNTIFS(Data!$E$2:$E$36,A31,Data!$V$2:$V$36,"Lost")</f>
        <v>1</v>
      </c>
      <c r="H31" s="24" t="n">
        <f aca="false">IFERROR(AVERAGEIFS(Data!$O$2:$O$36,Data!$E$2:$E$36,A31,Data!$O$2:$O$36,"&gt;0"),0)</f>
        <v>4.24</v>
      </c>
      <c r="I31" s="23" t="n">
        <f aca="false">IFERROR(C31/$B$6,0)</f>
        <v>0.132083095555086</v>
      </c>
    </row>
    <row r="32" customFormat="false" ht="15" hidden="false" customHeight="false" outlineLevel="0" collapsed="false">
      <c r="A32" s="25" t="s">
        <v>236</v>
      </c>
      <c r="B32" s="25" t="n">
        <f aca="false">SUM(B26:B31)</f>
        <v>35</v>
      </c>
      <c r="C32" s="26" t="n">
        <f aca="false">SUM(C26:C31)</f>
        <v>102458.91</v>
      </c>
      <c r="D32" s="26" t="n">
        <f aca="false">SUM(D26:D31)</f>
        <v>71013.78</v>
      </c>
      <c r="E32" s="26" t="n">
        <f aca="false">SUM(E26:E31)</f>
        <v>31445.13</v>
      </c>
      <c r="F32" s="27" t="n">
        <f aca="false">IFERROR(E32/C32,0)</f>
        <v>0.306904787489931</v>
      </c>
      <c r="G32" s="25" t="n">
        <f aca="false">SUM(G26:G31)</f>
        <v>11</v>
      </c>
      <c r="H32" s="28" t="n">
        <f aca="false">AVERAGEIF(Data!$O$2:$O$36,"&gt;0")</f>
        <v>4.26176470588235</v>
      </c>
      <c r="I32" s="27" t="n">
        <f aca="false">IFERROR(C32/$B$6,0)</f>
        <v>1</v>
      </c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" hidden="false" customHeight="false" outlineLevel="0" collapsed="false">
      <c r="A35" s="16" t="s">
        <v>238</v>
      </c>
      <c r="B35" s="13"/>
      <c r="C35" s="13"/>
      <c r="D35" s="13"/>
      <c r="E35" s="13"/>
      <c r="F35" s="13"/>
      <c r="G35" s="13"/>
      <c r="H35" s="13"/>
      <c r="I35" s="13"/>
    </row>
    <row r="36" customFormat="false" ht="23.85" hidden="false" customHeight="false" outlineLevel="0" collapsed="false">
      <c r="A36" s="21" t="s">
        <v>228</v>
      </c>
      <c r="B36" s="21" t="s">
        <v>229</v>
      </c>
      <c r="C36" s="21" t="s">
        <v>230</v>
      </c>
      <c r="D36" s="21" t="s">
        <v>35</v>
      </c>
      <c r="E36" s="21" t="s">
        <v>231</v>
      </c>
      <c r="F36" s="21" t="s">
        <v>232</v>
      </c>
      <c r="G36" s="21" t="s">
        <v>233</v>
      </c>
      <c r="H36" s="21" t="s">
        <v>234</v>
      </c>
      <c r="I36" s="21" t="s">
        <v>235</v>
      </c>
    </row>
    <row r="37" customFormat="false" ht="15" hidden="false" customHeight="false" outlineLevel="0" collapsed="false">
      <c r="A37" s="12" t="s">
        <v>49</v>
      </c>
      <c r="B37" s="12" t="n">
        <f aca="false">COUNTIF(Data!$M$2:$M$36,A37)</f>
        <v>22</v>
      </c>
      <c r="C37" s="22" t="n">
        <f aca="false">SUMIFS(Data!$R$2:$R$36,Data!$M$2:$M$36,A37)</f>
        <v>69382.75</v>
      </c>
      <c r="D37" s="22" t="n">
        <f aca="false">SUMIFS(Data!$S$2:$S$36,Data!$M$2:$M$36,A37)</f>
        <v>46144</v>
      </c>
      <c r="E37" s="22" t="n">
        <f aca="false">C37-D37</f>
        <v>23238.75</v>
      </c>
      <c r="F37" s="23" t="n">
        <f aca="false">IFERROR(E37/C37,0)</f>
        <v>0.334935556748615</v>
      </c>
      <c r="G37" s="12" t="n">
        <f aca="false">COUNTIFS(Data!$M$2:$M$36,A37,Data!$V$2:$V$36,"Lost")</f>
        <v>8</v>
      </c>
      <c r="H37" s="24" t="n">
        <f aca="false">IFERROR(AVERAGEIFS(Data!$O$2:$O$36,Data!$M$2:$M$36,A37,Data!$O$2:$O$36,"&gt;0"),0)</f>
        <v>4.26666666666667</v>
      </c>
      <c r="I37" s="23" t="n">
        <f aca="false">IFERROR(C37/$B$6,0)</f>
        <v>0.677176343179915</v>
      </c>
    </row>
    <row r="38" customFormat="false" ht="15" hidden="false" customHeight="false" outlineLevel="0" collapsed="false">
      <c r="A38" s="12" t="s">
        <v>66</v>
      </c>
      <c r="B38" s="12" t="n">
        <f aca="false">COUNTIF(Data!$M$2:$M$36,A38)</f>
        <v>13</v>
      </c>
      <c r="C38" s="22" t="n">
        <f aca="false">SUMIFS(Data!$R$2:$R$36,Data!$M$2:$M$36,A38)</f>
        <v>33076.16</v>
      </c>
      <c r="D38" s="22" t="n">
        <f aca="false">SUMIFS(Data!$S$2:$S$36,Data!$M$2:$M$36,A38)</f>
        <v>24869.78</v>
      </c>
      <c r="E38" s="22" t="n">
        <f aca="false">C38-D38</f>
        <v>8206.38</v>
      </c>
      <c r="F38" s="23" t="n">
        <f aca="false">IFERROR(E38/C38,0)</f>
        <v>0.248105584203245</v>
      </c>
      <c r="G38" s="12" t="n">
        <f aca="false">COUNTIFS(Data!$M$2:$M$36,A38,Data!$V$2:$V$36,"Lost")</f>
        <v>3</v>
      </c>
      <c r="H38" s="24" t="n">
        <f aca="false">IFERROR(AVERAGEIFS(Data!$O$2:$O$36,Data!$M$2:$M$36,A38,Data!$O$2:$O$36,"&gt;0"),0)</f>
        <v>4.25384615384615</v>
      </c>
      <c r="I38" s="23" t="n">
        <f aca="false">IFERROR(C38/$B$6,0)</f>
        <v>0.322823656820085</v>
      </c>
    </row>
    <row r="39" customFormat="false" ht="15" hidden="false" customHeight="false" outlineLevel="0" collapsed="false">
      <c r="A39" s="25" t="s">
        <v>236</v>
      </c>
      <c r="B39" s="25" t="n">
        <f aca="false">SUM(B37:B38)</f>
        <v>35</v>
      </c>
      <c r="C39" s="26" t="n">
        <f aca="false">SUM(C37:C38)</f>
        <v>102458.91</v>
      </c>
      <c r="D39" s="26" t="n">
        <f aca="false">SUM(D37:D38)</f>
        <v>71013.78</v>
      </c>
      <c r="E39" s="26" t="n">
        <f aca="false">SUM(E37:E38)</f>
        <v>31445.13</v>
      </c>
      <c r="F39" s="27" t="n">
        <f aca="false">IFERROR(E39/C39,0)</f>
        <v>0.306904787489931</v>
      </c>
      <c r="G39" s="25" t="n">
        <f aca="false">SUM(G37:G38)</f>
        <v>11</v>
      </c>
      <c r="H39" s="28" t="n">
        <f aca="false">AVERAGEIF(Data!$O$2:$O$36,"&gt;0")</f>
        <v>4.26176470588235</v>
      </c>
      <c r="I39" s="27" t="n">
        <f aca="false">IFERROR(C39/$B$6,0)</f>
        <v>1</v>
      </c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3"/>
      <c r="H40" s="13"/>
      <c r="I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3"/>
      <c r="H41" s="13"/>
      <c r="I41" s="13"/>
    </row>
    <row r="42" customFormat="false" ht="15" hidden="false" customHeight="false" outlineLevel="0" collapsed="false">
      <c r="A42" s="16" t="s">
        <v>239</v>
      </c>
      <c r="B42" s="13"/>
      <c r="C42" s="13"/>
      <c r="D42" s="13"/>
      <c r="E42" s="13"/>
      <c r="F42" s="13"/>
      <c r="G42" s="13"/>
      <c r="H42" s="13"/>
      <c r="I42" s="13"/>
    </row>
    <row r="43" customFormat="false" ht="23.85" hidden="false" customHeight="false" outlineLevel="0" collapsed="false">
      <c r="A43" s="21" t="s">
        <v>228</v>
      </c>
      <c r="B43" s="21" t="s">
        <v>229</v>
      </c>
      <c r="C43" s="21" t="s">
        <v>230</v>
      </c>
      <c r="D43" s="21" t="s">
        <v>35</v>
      </c>
      <c r="E43" s="21" t="s">
        <v>231</v>
      </c>
      <c r="F43" s="21" t="s">
        <v>232</v>
      </c>
      <c r="G43" s="21" t="s">
        <v>233</v>
      </c>
      <c r="H43" s="21" t="s">
        <v>234</v>
      </c>
      <c r="I43" s="21" t="s">
        <v>235</v>
      </c>
    </row>
    <row r="44" customFormat="false" ht="15" hidden="false" customHeight="false" outlineLevel="0" collapsed="false">
      <c r="A44" s="12" t="s">
        <v>240</v>
      </c>
      <c r="B44" s="12" t="n">
        <f aca="false">COUNTIF(Data!$U$2:$U$36,A44)</f>
        <v>12</v>
      </c>
      <c r="C44" s="22" t="n">
        <f aca="false">SUMIFS(Data!$R$2:$R$36,Data!$U$2:$U$36,A44)</f>
        <v>30021.54</v>
      </c>
      <c r="D44" s="22" t="n">
        <f aca="false">SUMIFS(Data!$S$2:$S$36,Data!$U$2:$U$36,A44)</f>
        <v>21699.05</v>
      </c>
      <c r="E44" s="22" t="n">
        <f aca="false">C44-D44</f>
        <v>8322.49</v>
      </c>
      <c r="F44" s="23" t="n">
        <f aca="false">IFERROR(E44/C44,0)</f>
        <v>0.277217291318167</v>
      </c>
      <c r="G44" s="12" t="n">
        <f aca="false">COUNTIFS(Data!$U$2:$U$36,A44,Data!$V$2:$V$36,"Lost")</f>
        <v>3</v>
      </c>
      <c r="H44" s="24" t="n">
        <f aca="false">IFERROR(AVERAGEIFS(Data!$O$2:$O$36,Data!$U$2:$U$36,A44,Data!$O$2:$O$36,"&gt;0"),0)</f>
        <v>4.13333333333333</v>
      </c>
      <c r="I44" s="23" t="n">
        <f aca="false">IFERROR(C44/$B$6,0)</f>
        <v>0.293010534662139</v>
      </c>
    </row>
    <row r="45" customFormat="false" ht="15" hidden="false" customHeight="false" outlineLevel="0" collapsed="false">
      <c r="A45" s="12" t="s">
        <v>241</v>
      </c>
      <c r="B45" s="12" t="n">
        <f aca="false">COUNTIF(Data!$U$2:$U$36,A45)</f>
        <v>11</v>
      </c>
      <c r="C45" s="22" t="n">
        <f aca="false">SUMIFS(Data!$R$2:$R$36,Data!$U$2:$U$36,A45)</f>
        <v>30515.47</v>
      </c>
      <c r="D45" s="22" t="n">
        <f aca="false">SUMIFS(Data!$S$2:$S$36,Data!$U$2:$U$36,A45)</f>
        <v>19005.39</v>
      </c>
      <c r="E45" s="22" t="n">
        <f aca="false">C45-D45</f>
        <v>11510.08</v>
      </c>
      <c r="F45" s="23" t="n">
        <f aca="false">IFERROR(E45/C45,0)</f>
        <v>0.377188357249618</v>
      </c>
      <c r="G45" s="12" t="n">
        <f aca="false">COUNTIFS(Data!$U$2:$U$36,A45,Data!$V$2:$V$36,"Lost")</f>
        <v>4</v>
      </c>
      <c r="H45" s="24" t="n">
        <f aca="false">IFERROR(AVERAGEIFS(Data!$O$2:$O$36,Data!$U$2:$U$36,A45,Data!$O$2:$O$36,"&gt;0"),0)</f>
        <v>4.35454545454545</v>
      </c>
      <c r="I45" s="23" t="n">
        <f aca="false">IFERROR(C45/$B$6,0)</f>
        <v>0.297831296468018</v>
      </c>
    </row>
    <row r="46" customFormat="false" ht="15" hidden="false" customHeight="false" outlineLevel="0" collapsed="false">
      <c r="A46" s="12" t="s">
        <v>242</v>
      </c>
      <c r="B46" s="12" t="n">
        <f aca="false">COUNTIF(Data!$U$2:$U$36,A46)</f>
        <v>12</v>
      </c>
      <c r="C46" s="22" t="n">
        <f aca="false">SUMIFS(Data!$R$2:$R$36,Data!$U$2:$U$36,A46)</f>
        <v>41921.9</v>
      </c>
      <c r="D46" s="22" t="n">
        <f aca="false">SUMIFS(Data!$S$2:$S$36,Data!$U$2:$U$36,A46)</f>
        <v>30309.34</v>
      </c>
      <c r="E46" s="22" t="n">
        <f aca="false">C46-D46</f>
        <v>11612.56</v>
      </c>
      <c r="F46" s="23" t="n">
        <f aca="false">IFERROR(E46/C46,0)</f>
        <v>0.277004620496686</v>
      </c>
      <c r="G46" s="12" t="n">
        <f aca="false">COUNTIFS(Data!$U$2:$U$36,A46,Data!$V$2:$V$36,"Lost")</f>
        <v>4</v>
      </c>
      <c r="H46" s="24" t="n">
        <f aca="false">IFERROR(AVERAGEIFS(Data!$O$2:$O$36,Data!$U$2:$U$36,A46,Data!$O$2:$O$36,"&gt;0"),0)</f>
        <v>4.30909090909091</v>
      </c>
      <c r="I46" s="23" t="n">
        <f aca="false">IFERROR(C46/$B$6,0)</f>
        <v>0.409158168869843</v>
      </c>
    </row>
    <row r="47" customFormat="false" ht="15" hidden="false" customHeight="false" outlineLevel="0" collapsed="false">
      <c r="A47" s="25" t="s">
        <v>236</v>
      </c>
      <c r="B47" s="25" t="n">
        <f aca="false">SUM(B44:B46)</f>
        <v>35</v>
      </c>
      <c r="C47" s="26" t="n">
        <f aca="false">SUM(C44:C46)</f>
        <v>102458.91</v>
      </c>
      <c r="D47" s="26" t="n">
        <f aca="false">SUM(D44:D46)</f>
        <v>71013.78</v>
      </c>
      <c r="E47" s="26" t="n">
        <f aca="false">SUM(E44:E46)</f>
        <v>31445.13</v>
      </c>
      <c r="F47" s="27" t="n">
        <f aca="false">IFERROR(E47/C47,0)</f>
        <v>0.306904787489931</v>
      </c>
      <c r="G47" s="25" t="n">
        <f aca="false">SUM(G44:G46)</f>
        <v>11</v>
      </c>
      <c r="H47" s="28" t="n">
        <f aca="false">AVERAGEIF(Data!$O$2:$O$36,"&gt;0")</f>
        <v>4.26176470588235</v>
      </c>
      <c r="I47" s="27" t="n">
        <f aca="false">IFERROR(C47/$B$6,0)</f>
        <v>1</v>
      </c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3"/>
      <c r="H48" s="13"/>
      <c r="I48" s="13"/>
    </row>
    <row r="49" customFormat="false" ht="15" hidden="false" customHeight="false" outlineLevel="0" collapsed="false">
      <c r="A49" s="14" t="s">
        <v>243</v>
      </c>
      <c r="B49" s="13"/>
      <c r="C49" s="13"/>
      <c r="D49" s="13"/>
      <c r="E49" s="13"/>
      <c r="F49" s="13"/>
      <c r="G49" s="13"/>
      <c r="H49" s="13"/>
      <c r="I49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12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5" t="s">
        <v>244</v>
      </c>
      <c r="B1" s="13"/>
      <c r="C1" s="13"/>
      <c r="D1" s="13"/>
    </row>
    <row r="2" customFormat="false" ht="15" hidden="false" customHeight="false" outlineLevel="0" collapsed="false">
      <c r="A2" s="13"/>
      <c r="B2" s="13"/>
      <c r="C2" s="13"/>
      <c r="D2" s="13"/>
    </row>
    <row r="3" customFormat="false" ht="15" hidden="false" customHeight="false" outlineLevel="0" collapsed="false">
      <c r="A3" s="29" t="s">
        <v>245</v>
      </c>
      <c r="B3" s="29" t="s">
        <v>246</v>
      </c>
      <c r="C3" s="29" t="s">
        <v>247</v>
      </c>
      <c r="D3" s="29" t="s">
        <v>248</v>
      </c>
    </row>
    <row r="4" customFormat="false" ht="45" hidden="false" customHeight="true" outlineLevel="0" collapsed="false">
      <c r="A4" s="30" t="n">
        <v>1</v>
      </c>
      <c r="B4" s="30" t="s">
        <v>249</v>
      </c>
      <c r="C4" s="31" t="n">
        <f aca="false">'Pivot Summary'!B9</f>
        <v>0.306904787489931</v>
      </c>
      <c r="D4" s="30" t="s">
        <v>250</v>
      </c>
    </row>
    <row r="5" customFormat="false" ht="45" hidden="false" customHeight="true" outlineLevel="0" collapsed="false">
      <c r="A5" s="30" t="n">
        <v>2</v>
      </c>
      <c r="B5" s="30" t="s">
        <v>251</v>
      </c>
      <c r="C5" s="32" t="n">
        <f aca="false">'Pivot Summary'!E16</f>
        <v>14094.97</v>
      </c>
      <c r="D5" s="30" t="s">
        <v>252</v>
      </c>
    </row>
    <row r="6" customFormat="false" ht="45" hidden="false" customHeight="true" outlineLevel="0" collapsed="false">
      <c r="A6" s="30" t="n">
        <v>3</v>
      </c>
      <c r="B6" s="30" t="s">
        <v>253</v>
      </c>
      <c r="C6" s="33" t="n">
        <f aca="false">INDEX('Pivot Summary'!F26:F31,MATCH("Pune",'Pivot Summary'!A26:A31,0))</f>
        <v>0.704830230531569</v>
      </c>
      <c r="D6" s="30" t="s">
        <v>254</v>
      </c>
    </row>
    <row r="7" customFormat="false" ht="45" hidden="false" customHeight="true" outlineLevel="0" collapsed="false">
      <c r="A7" s="30" t="n">
        <v>4</v>
      </c>
      <c r="B7" s="30" t="s">
        <v>255</v>
      </c>
      <c r="C7" s="33" t="n">
        <f aca="false">IFERROR('Pivot Summary'!G46/'Pivot Summary'!B46,0)</f>
        <v>0.333333333333333</v>
      </c>
      <c r="D7" s="30" t="s">
        <v>256</v>
      </c>
    </row>
    <row r="8" customFormat="false" ht="45" hidden="false" customHeight="true" outlineLevel="0" collapsed="false">
      <c r="A8" s="30" t="n">
        <v>5</v>
      </c>
      <c r="B8" s="30" t="s">
        <v>257</v>
      </c>
      <c r="C8" s="34" t="n">
        <f aca="false">COUNTIF(Data!H2:H36,"Not Available")</f>
        <v>13</v>
      </c>
      <c r="D8" s="30" t="s">
        <v>258</v>
      </c>
    </row>
    <row r="9" customFormat="false" ht="15" hidden="false" customHeight="false" outlineLevel="0" collapsed="false">
      <c r="A9" s="13"/>
      <c r="B9" s="13"/>
      <c r="C9" s="13"/>
      <c r="D9" s="13"/>
    </row>
    <row r="10" customFormat="false" ht="15" hidden="false" customHeight="false" outlineLevel="0" collapsed="false">
      <c r="A10" s="13"/>
      <c r="B10" s="14" t="s">
        <v>259</v>
      </c>
      <c r="C10" s="13"/>
      <c r="D10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2026-09-26T09:16:25Z</dcterms:created>
  <dc:creator>openpyxl</dc:creator>
  <dc:description/>
  <dc:language>en-US</dc:language>
  <cp:lastModifiedBy/>
  <dcterms:modified xsi:type="dcterms:W3CDTF">2026-09-26T11:16:27Z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